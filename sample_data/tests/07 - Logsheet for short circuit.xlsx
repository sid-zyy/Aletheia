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ort-Circuit Withstand Test" sheetId="1" state="visible" r:id="rId1"/>
  </sheets>
  <definedNames>
    <definedName name="SC2_SERIES">'Short-Circuit Withstand Test'!$D$6</definedName>
    <definedName name="SC2_SAMPLE">'Short-Circuit Withstand Test'!$J$6</definedName>
    <definedName name="SC2_CONDITION">'Short-Circuit Withstand Test'!$D$7</definedName>
    <definedName name="SC2_DATE">'Short-Circuit Withstand Test'!$J$7</definedName>
    <definedName name="SC2_NOTES">'Short-Circuit Withstand Test'!$E$8</definedName>
    <definedName name="SC2_DURING">'Short-Circuit Withstand Test'!$E$38</definedName>
    <definedName name="SC2_AFTER">'Short-Circuit Withstand Test'!$E$39</definedName>
    <definedName name="SC2_INSPECTION">'Short-Circuit Withstand Test'!$E$41</definedName>
    <definedName name="SC2_INSP_CORE">'Short-Circuit Withstand Test'!$E$42</definedName>
    <definedName name="SC2_INSP_SPACERS">'Short-Circuit Withstand Test'!$E$43</definedName>
    <definedName name="SC2_INSP_OIL">'Short-Circuit Withstand Test'!$E$44</definedName>
    <definedName name="SC2_SIG_CUSTOMER">'Short-Circuit Withstand Test'!$A$45</definedName>
    <definedName name="SC2_SIG_ENGINEER">'Short-Circuit Withstand Test'!$G$45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-mm-yyyy"/>
  </numFmts>
  <fonts count="10">
    <font>
      <name val="Calibri"/>
      <family val="2"/>
      <color theme="1"/>
      <sz val="11"/>
      <scheme val="minor"/>
    </font>
    <font>
      <color rgb="00FFFFFF"/>
      <sz val="6"/>
    </font>
    <font>
      <i val="1"/>
      <color rgb="001C3D6E"/>
      <sz val="9"/>
    </font>
    <font>
      <b val="1"/>
      <sz val="12"/>
    </font>
    <font>
      <b val="1"/>
      <sz val="13"/>
      <u val="single"/>
    </font>
    <font>
      <sz val="10"/>
    </font>
    <font>
      <b val="1"/>
      <sz val="11"/>
    </font>
    <font>
      <b val="1"/>
      <sz val="10"/>
    </font>
    <font>
      <color rgb="0056667F"/>
      <sz val="8"/>
    </font>
    <font>
      <b val="1"/>
    </font>
  </fonts>
  <fills count="7">
    <fill>
      <patternFill/>
    </fill>
    <fill>
      <patternFill patternType="gray125"/>
    </fill>
    <fill>
      <patternFill patternType="solid">
        <fgColor rgb="00EAF3FB"/>
      </patternFill>
    </fill>
    <fill>
      <patternFill patternType="solid">
        <fgColor rgb="00EEF1F5"/>
      </patternFill>
    </fill>
    <fill>
      <patternFill patternType="solid">
        <fgColor rgb="00DFE7F1"/>
      </patternFill>
    </fill>
    <fill>
      <patternFill patternType="solid">
        <fgColor rgb="00FFFBEA"/>
      </patternFill>
    </fill>
    <fill>
      <patternFill patternType="solid">
        <fgColor rgb="00E3E6EA"/>
      </patternFill>
    </fill>
  </fills>
  <borders count="9">
    <border>
      <left/>
      <right/>
      <top/>
      <bottom/>
      <diagonal/>
    </border>
    <border>
      <left style="thin">
        <color rgb="009AA8BD"/>
      </left>
      <right style="thin">
        <color rgb="009AA8BD"/>
      </right>
      <top style="thin">
        <color rgb="009AA8BD"/>
      </top>
      <bottom style="thin">
        <color rgb="009AA8BD"/>
      </bottom>
    </border>
    <border>
      <left/>
      <right/>
      <top style="thin">
        <color rgb="009AA8BD"/>
      </top>
      <bottom/>
      <diagonal/>
    </border>
    <border>
      <left/>
      <right style="thin">
        <color rgb="009AA8BD"/>
      </right>
      <top style="thin">
        <color rgb="009AA8BD"/>
      </top>
      <bottom/>
      <diagonal/>
    </border>
    <border>
      <left/>
      <right/>
      <top style="thin">
        <color rgb="009AA8BD"/>
      </top>
      <bottom style="thin">
        <color rgb="009AA8BD"/>
      </bottom>
      <diagonal/>
    </border>
    <border>
      <left/>
      <right style="thin">
        <color rgb="009AA8BD"/>
      </right>
      <top style="thin">
        <color rgb="009AA8BD"/>
      </top>
      <bottom style="thin">
        <color rgb="009AA8BD"/>
      </bottom>
      <diagonal/>
    </border>
    <border>
      <left style="thin">
        <color rgb="009AA8BD"/>
      </left>
      <right/>
      <top/>
      <bottom/>
      <diagonal/>
    </border>
    <border>
      <left style="thin">
        <color rgb="009AA8BD"/>
      </left>
      <right style="thin">
        <color rgb="009AA8BD"/>
      </right>
      <top/>
      <bottom/>
      <diagonal/>
    </border>
    <border>
      <left style="thin">
        <color rgb="009AA8BD"/>
      </left>
      <right style="thin">
        <color rgb="009AA8BD"/>
      </right>
      <top/>
      <bottom style="thin">
        <color rgb="009AA8BD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top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3" borderId="1" applyAlignment="1" pivotButton="0" quotePrefix="0" xfId="0">
      <alignment vertical="center" wrapText="1"/>
    </xf>
    <xf numFmtId="0" fontId="0" fillId="0" borderId="4" pivotButton="0" quotePrefix="0" xfId="0"/>
    <xf numFmtId="0" fontId="0" fillId="0" borderId="5" pivotButton="0" quotePrefix="0" xfId="0"/>
    <xf numFmtId="49" fontId="0" fillId="5" borderId="1" applyAlignment="1" applyProtection="1" pivotButton="0" quotePrefix="0" xfId="0">
      <alignment horizontal="left" vertical="center" wrapText="1"/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164" fontId="0" fillId="5" borderId="1" applyAlignment="1" applyProtection="1" pivotButton="0" quotePrefix="0" xfId="0">
      <alignment horizontal="left" vertical="center" wrapText="1"/>
      <protection locked="0" hidden="0"/>
    </xf>
    <xf numFmtId="0" fontId="9" fillId="4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/>
    </xf>
    <xf numFmtId="0" fontId="0" fillId="5" borderId="1" applyProtection="1" pivotButton="0" quotePrefix="0" xfId="0">
      <protection locked="0" hidden="0"/>
    </xf>
    <xf numFmtId="0" fontId="6" fillId="4" borderId="1" applyAlignment="1" pivotButton="0" quotePrefix="0" xfId="0">
      <alignment horizontal="center" vertical="center"/>
    </xf>
    <xf numFmtId="0" fontId="0" fillId="0" borderId="8" pivotButton="0" quotePrefix="0" xfId="0"/>
    <xf numFmtId="49" fontId="0" fillId="5" borderId="1" applyProtection="1" pivotButton="0" quotePrefix="0" xfId="0">
      <protection locked="0" hidden="0"/>
    </xf>
    <xf numFmtId="2" fontId="0" fillId="6" borderId="1" pivotButton="0" quotePrefix="0" xfId="0"/>
    <xf numFmtId="0" fontId="7" fillId="0" borderId="0" applyAlignment="1" pivotButton="0" quotePrefix="0" xfId="0">
      <alignment horizontal="center" vertical="top"/>
    </xf>
    <xf numFmtId="0" fontId="8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48"/>
  <sheetViews>
    <sheetView showGridLines="0" workbookViewId="0">
      <selection activeCell="A1" sqref="A1"/>
    </sheetView>
  </sheetViews>
  <sheetFormatPr baseColWidth="8" defaultRowHeight="15"/>
  <cols>
    <col width="10.5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8" customWidth="1" min="14" max="14"/>
  </cols>
  <sheetData>
    <row r="1" hidden="1">
      <c r="A1" s="1" t="inlineStr">
        <is>
          <t>Aletheia template sc v2</t>
        </is>
      </c>
    </row>
    <row r="2" ht="30" customHeight="1">
      <c r="A2" s="2" t="inlineStr">
        <is>
          <t>Fill in the yellow cells as on the paper logsheet. Grey cells are printed text or are calculated; they are locked. Choose from the list where a cell offers one; readings must be numbers and dates must be dates (dd-mm-yyyy). Leave a cell empty if the value is not on the sheet: it is recorded as NA.</t>
        </is>
      </c>
    </row>
    <row r="3" ht="18" customHeight="1">
      <c r="A3" s="3" t="inlineStr">
        <is>
          <t>SHORT CIRCUIT LABORATORY</t>
        </is>
      </c>
    </row>
    <row r="4" ht="20" customHeight="1">
      <c r="A4" s="4" t="inlineStr">
        <is>
          <t>LOG-SHEET FOR SHORT CIRCUIT TEST ON TRANSFORMERS</t>
        </is>
      </c>
    </row>
    <row r="6">
      <c r="A6" s="5" t="inlineStr">
        <is>
          <t>Test Series No</t>
        </is>
      </c>
      <c r="B6" s="6" t="n"/>
      <c r="C6" s="7" t="n"/>
      <c r="D6" s="8" t="inlineStr">
        <is>
          <t>CPRIBLRSCL25T1654</t>
        </is>
      </c>
      <c r="E6" s="9" t="n"/>
      <c r="F6" s="10" t="n"/>
      <c r="G6" s="5" t="inlineStr">
        <is>
          <t>CPRI Sample Code No.</t>
        </is>
      </c>
      <c r="H6" s="6" t="n"/>
      <c r="I6" s="7" t="n"/>
      <c r="J6" s="8" t="inlineStr">
        <is>
          <t>HVD25S0847</t>
        </is>
      </c>
      <c r="K6" s="9" t="n"/>
      <c r="L6" s="10" t="n"/>
    </row>
    <row r="7">
      <c r="A7" s="5" t="inlineStr">
        <is>
          <t>Condition of the transformer before SC test</t>
        </is>
      </c>
      <c r="B7" s="6" t="n"/>
      <c r="C7" s="7" t="n"/>
      <c r="D7" s="8" t="inlineStr">
        <is>
          <t>As after routine test</t>
        </is>
      </c>
      <c r="E7" s="9" t="n"/>
      <c r="F7" s="10" t="n"/>
      <c r="G7" s="5" t="inlineStr">
        <is>
          <t>Date of Test</t>
        </is>
      </c>
      <c r="H7" s="6" t="n"/>
      <c r="I7" s="7" t="n"/>
      <c r="J7" s="11" t="n">
        <v>45961</v>
      </c>
      <c r="K7" s="9" t="n"/>
      <c r="L7" s="10" t="n"/>
    </row>
    <row r="8">
      <c r="A8" s="5" t="inlineStr">
        <is>
          <t>Other details (rating, bay, setting)</t>
        </is>
      </c>
      <c r="B8" s="6" t="n"/>
      <c r="C8" s="6" t="n"/>
      <c r="D8" s="7" t="n"/>
      <c r="E8" s="8" t="n"/>
      <c r="F8" s="9" t="n"/>
      <c r="G8" s="9" t="n"/>
      <c r="H8" s="9" t="n"/>
      <c r="I8" s="9" t="n"/>
      <c r="J8" s="9" t="n"/>
      <c r="K8" s="9" t="n"/>
      <c r="L8" s="10" t="n"/>
    </row>
    <row r="9" ht="60" customHeight="1">
      <c r="A9" s="12" t="inlineStr">
        <is>
          <t>Short-circuit current required on LV side</t>
        </is>
      </c>
      <c r="B9" s="12" t="inlineStr">
        <is>
          <t>kA rms</t>
        </is>
      </c>
      <c r="C9" s="12" t="inlineStr">
        <is>
          <t>kA peak</t>
        </is>
      </c>
    </row>
    <row r="10">
      <c r="A10" s="13" t="inlineStr">
        <is>
          <t>1) Normal tap</t>
        </is>
      </c>
      <c r="B10" s="14" t="n">
        <v>7.61</v>
      </c>
      <c r="C10" s="14" t="n">
        <v>16.73</v>
      </c>
    </row>
    <row r="11">
      <c r="A11" s="13" t="inlineStr">
        <is>
          <t>2) Highest tap</t>
        </is>
      </c>
      <c r="B11" s="14" t="n">
        <v>7.5</v>
      </c>
      <c r="C11" s="14" t="n">
        <v>16.61</v>
      </c>
    </row>
    <row r="12">
      <c r="A12" s="13" t="inlineStr">
        <is>
          <t>3) Lowest tap</t>
        </is>
      </c>
      <c r="B12" s="14" t="n">
        <v>7.43</v>
      </c>
      <c r="C12" s="14" t="n">
        <v>16.2</v>
      </c>
    </row>
    <row r="14">
      <c r="A14" s="15" t="inlineStr">
        <is>
          <t>S.C. Test results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7" t="n"/>
    </row>
    <row r="15">
      <c r="A15" s="12" t="inlineStr">
        <is>
          <t>Osc. no.</t>
        </is>
      </c>
      <c r="B15" s="12" t="inlineStr">
        <is>
          <t>Dial</t>
        </is>
      </c>
      <c r="C15" s="12" t="inlineStr">
        <is>
          <t>Voltage Applied</t>
        </is>
      </c>
      <c r="D15" s="6" t="n"/>
      <c r="E15" s="7" t="n"/>
      <c r="F15" s="12" t="inlineStr">
        <is>
          <t>Max. Peak on / Tap</t>
        </is>
      </c>
      <c r="G15" s="12" t="inlineStr">
        <is>
          <t>Peak (kA)</t>
        </is>
      </c>
      <c r="H15" s="12" t="inlineStr">
        <is>
          <t>S.C. Current (kA)</t>
        </is>
      </c>
      <c r="I15" s="6" t="n"/>
      <c r="J15" s="7" t="n"/>
      <c r="K15" s="12" t="inlineStr">
        <is>
          <t>RMS (Avg)</t>
        </is>
      </c>
      <c r="L15" s="12" t="inlineStr">
        <is>
          <t>Duration in (s)</t>
        </is>
      </c>
      <c r="M15" s="12" t="inlineStr">
        <is>
          <t>S.E.</t>
        </is>
      </c>
      <c r="N15" s="12" t="inlineStr">
        <is>
          <t>Remarks (calibration / thermal)</t>
        </is>
      </c>
    </row>
    <row r="16" ht="45" customHeight="1">
      <c r="A16" s="16" t="n"/>
      <c r="B16" s="16" t="n"/>
      <c r="C16" s="12" t="inlineStr">
        <is>
          <t>U (kV)</t>
        </is>
      </c>
      <c r="D16" s="12" t="inlineStr">
        <is>
          <t>V (kV)</t>
        </is>
      </c>
      <c r="E16" s="12" t="inlineStr">
        <is>
          <t>W (kV)</t>
        </is>
      </c>
      <c r="F16" s="16" t="n"/>
      <c r="G16" s="16" t="n"/>
      <c r="H16" s="12" t="inlineStr">
        <is>
          <t>RMS (U)</t>
        </is>
      </c>
      <c r="I16" s="12" t="inlineStr">
        <is>
          <t>RMS (V)</t>
        </is>
      </c>
      <c r="J16" s="12" t="inlineStr">
        <is>
          <t>RMS (W)</t>
        </is>
      </c>
      <c r="K16" s="16" t="n"/>
      <c r="L16" s="16" t="n"/>
      <c r="M16" s="16" t="n"/>
      <c r="N16" s="16" t="n"/>
    </row>
    <row r="17">
      <c r="A17" s="17" t="inlineStr">
        <is>
          <t>S001</t>
        </is>
      </c>
      <c r="B17" s="14" t="n">
        <v>145</v>
      </c>
      <c r="C17" s="14" t="n"/>
      <c r="D17" s="14" t="n"/>
      <c r="E17" s="14" t="n"/>
      <c r="F17" s="17" t="inlineStr">
        <is>
          <t>NT</t>
        </is>
      </c>
      <c r="G17" s="14" t="n">
        <v>5.32</v>
      </c>
      <c r="H17" s="14" t="n">
        <v>2.07</v>
      </c>
      <c r="I17" s="14" t="n">
        <v>2.11</v>
      </c>
      <c r="J17" s="14" t="n">
        <v>2.07</v>
      </c>
      <c r="K17" s="18" t="n">
        <v>2.08</v>
      </c>
      <c r="L17" s="14" t="n">
        <v>0.54</v>
      </c>
      <c r="M17" s="17" t="n"/>
      <c r="N17" s="17" t="inlineStr">
        <is>
          <t>calibration</t>
        </is>
      </c>
    </row>
    <row r="18">
      <c r="A18" s="17" t="inlineStr">
        <is>
          <t>S002</t>
        </is>
      </c>
      <c r="B18" s="14" t="n">
        <v>145</v>
      </c>
      <c r="C18" s="14" t="n"/>
      <c r="D18" s="14" t="n"/>
      <c r="E18" s="14" t="n"/>
      <c r="F18" s="17" t="inlineStr">
        <is>
          <t>NT</t>
        </is>
      </c>
      <c r="G18" s="14" t="n">
        <v>16.8</v>
      </c>
      <c r="H18" s="14" t="n">
        <v>7.45</v>
      </c>
      <c r="I18" s="14" t="n">
        <v>7.59</v>
      </c>
      <c r="J18" s="14" t="n">
        <v>7.53</v>
      </c>
      <c r="K18" s="18" t="n">
        <v>7.53</v>
      </c>
      <c r="L18" s="14" t="n">
        <v>0.54</v>
      </c>
      <c r="M18" s="17" t="n"/>
      <c r="N18" s="17" t="inlineStr"/>
    </row>
    <row r="19">
      <c r="A19" s="17" t="inlineStr">
        <is>
          <t>S003</t>
        </is>
      </c>
      <c r="B19" s="14" t="n">
        <v>155</v>
      </c>
      <c r="C19" s="14" t="n"/>
      <c r="D19" s="14" t="n"/>
      <c r="E19" s="14" t="n"/>
      <c r="F19" s="17" t="inlineStr">
        <is>
          <t>NT</t>
        </is>
      </c>
      <c r="G19" s="14" t="n">
        <v>16.82</v>
      </c>
      <c r="H19" s="14" t="n">
        <v>7.57</v>
      </c>
      <c r="I19" s="14" t="n">
        <v>7.76</v>
      </c>
      <c r="J19" s="14" t="n">
        <v>7.65</v>
      </c>
      <c r="K19" s="18" t="n">
        <v>7.66</v>
      </c>
      <c r="L19" s="14" t="n">
        <v>0.54</v>
      </c>
      <c r="M19" s="17" t="n"/>
      <c r="N19" s="17" t="inlineStr"/>
    </row>
    <row r="20">
      <c r="A20" s="17" t="inlineStr">
        <is>
          <t>S004</t>
        </is>
      </c>
      <c r="B20" s="14" t="n">
        <v>155</v>
      </c>
      <c r="C20" s="14" t="n"/>
      <c r="D20" s="14" t="n"/>
      <c r="E20" s="14" t="n"/>
      <c r="F20" s="17" t="inlineStr">
        <is>
          <t>NT</t>
        </is>
      </c>
      <c r="G20" s="14" t="n">
        <v>16.74</v>
      </c>
      <c r="H20" s="14" t="n">
        <v>7.61</v>
      </c>
      <c r="I20" s="14" t="n">
        <v>7.85</v>
      </c>
      <c r="J20" s="14" t="n">
        <v>7.68</v>
      </c>
      <c r="K20" s="18" t="n">
        <v>7.71</v>
      </c>
      <c r="L20" s="14" t="n">
        <v>0.54</v>
      </c>
      <c r="M20" s="17" t="n"/>
      <c r="N20" s="17" t="inlineStr"/>
    </row>
    <row r="21">
      <c r="A21" s="17" t="inlineStr">
        <is>
          <t>S005</t>
        </is>
      </c>
      <c r="B21" s="14" t="n">
        <v>180</v>
      </c>
      <c r="C21" s="14" t="n"/>
      <c r="D21" s="14" t="n"/>
      <c r="E21" s="14" t="n"/>
      <c r="F21" s="17" t="inlineStr">
        <is>
          <t>HT</t>
        </is>
      </c>
      <c r="G21" s="14" t="n">
        <v>16.89</v>
      </c>
      <c r="H21" s="14" t="n">
        <v>7.48</v>
      </c>
      <c r="I21" s="14" t="n">
        <v>7.45</v>
      </c>
      <c r="J21" s="14" t="n">
        <v>7.62</v>
      </c>
      <c r="K21" s="18" t="n">
        <v>7.52</v>
      </c>
      <c r="L21" s="14" t="n">
        <v>0.54</v>
      </c>
      <c r="M21" s="17" t="n"/>
      <c r="N21" s="17" t="inlineStr"/>
    </row>
    <row r="22">
      <c r="A22" s="17" t="inlineStr">
        <is>
          <t>S006</t>
        </is>
      </c>
      <c r="B22" s="14" t="n">
        <v>180</v>
      </c>
      <c r="C22" s="14" t="n"/>
      <c r="D22" s="14" t="n"/>
      <c r="E22" s="14" t="n"/>
      <c r="F22" s="17" t="inlineStr">
        <is>
          <t>HT</t>
        </is>
      </c>
      <c r="G22" s="14" t="n">
        <v>16.78</v>
      </c>
      <c r="H22" s="14" t="n">
        <v>7.53</v>
      </c>
      <c r="I22" s="14" t="n">
        <v>7.46</v>
      </c>
      <c r="J22" s="14" t="n">
        <v>7.64</v>
      </c>
      <c r="K22" s="18" t="n">
        <v>7.54</v>
      </c>
      <c r="L22" s="14" t="n">
        <v>0.54</v>
      </c>
      <c r="M22" s="17" t="n"/>
      <c r="N22" s="17" t="inlineStr"/>
    </row>
    <row r="23">
      <c r="A23" s="17" t="inlineStr">
        <is>
          <t>S007</t>
        </is>
      </c>
      <c r="B23" s="14" t="n">
        <v>180</v>
      </c>
      <c r="C23" s="14" t="n"/>
      <c r="D23" s="14" t="n"/>
      <c r="E23" s="14" t="n"/>
      <c r="F23" s="17" t="inlineStr">
        <is>
          <t>HT</t>
        </is>
      </c>
      <c r="G23" s="14" t="n">
        <v>16.73</v>
      </c>
      <c r="H23" s="14" t="n">
        <v>7.51</v>
      </c>
      <c r="I23" s="14" t="n">
        <v>7.44</v>
      </c>
      <c r="J23" s="14" t="n">
        <v>7.65</v>
      </c>
      <c r="K23" s="18" t="n">
        <v>7.53</v>
      </c>
      <c r="L23" s="14" t="n">
        <v>0.54</v>
      </c>
      <c r="M23" s="17" t="n"/>
      <c r="N23" s="17" t="inlineStr"/>
    </row>
    <row r="24">
      <c r="A24" s="17" t="inlineStr">
        <is>
          <t>S008</t>
        </is>
      </c>
      <c r="B24" s="14" t="n">
        <v>40</v>
      </c>
      <c r="C24" s="14" t="n"/>
      <c r="D24" s="14" t="n"/>
      <c r="E24" s="14" t="n"/>
      <c r="F24" s="17" t="inlineStr">
        <is>
          <t>LT</t>
        </is>
      </c>
      <c r="G24" s="14" t="n">
        <v>16.49</v>
      </c>
      <c r="H24" s="14" t="n">
        <v>7.68</v>
      </c>
      <c r="I24" s="14" t="n">
        <v>7.56</v>
      </c>
      <c r="J24" s="14" t="n">
        <v>7.64</v>
      </c>
      <c r="K24" s="18" t="n">
        <v>7.63</v>
      </c>
      <c r="L24" s="14" t="n">
        <v>0.54</v>
      </c>
      <c r="M24" s="17" t="n"/>
      <c r="N24" s="17" t="inlineStr"/>
    </row>
    <row r="25">
      <c r="A25" s="17" t="inlineStr">
        <is>
          <t>S009</t>
        </is>
      </c>
      <c r="B25" s="14" t="n">
        <v>40</v>
      </c>
      <c r="C25" s="14" t="n"/>
      <c r="D25" s="14" t="n"/>
      <c r="E25" s="14" t="n"/>
      <c r="F25" s="17" t="inlineStr">
        <is>
          <t>LT</t>
        </is>
      </c>
      <c r="G25" s="14" t="n">
        <v>16.34</v>
      </c>
      <c r="H25" s="14" t="n">
        <v>7.47</v>
      </c>
      <c r="I25" s="14" t="n">
        <v>7.4</v>
      </c>
      <c r="J25" s="14" t="n">
        <v>7.44</v>
      </c>
      <c r="K25" s="18" t="n">
        <v>7.44</v>
      </c>
      <c r="L25" s="14" t="n">
        <v>0.54</v>
      </c>
      <c r="M25" s="17" t="n"/>
      <c r="N25" s="17" t="inlineStr"/>
    </row>
    <row r="26">
      <c r="A26" s="17" t="inlineStr">
        <is>
          <t>S010</t>
        </is>
      </c>
      <c r="B26" s="14" t="n">
        <v>40</v>
      </c>
      <c r="C26" s="14" t="n"/>
      <c r="D26" s="14" t="n"/>
      <c r="E26" s="14" t="n"/>
      <c r="F26" s="17" t="inlineStr">
        <is>
          <t>LT</t>
        </is>
      </c>
      <c r="G26" s="14" t="n">
        <v>16.26</v>
      </c>
      <c r="H26" s="14" t="n">
        <v>7.5</v>
      </c>
      <c r="I26" s="14" t="n">
        <v>7.39</v>
      </c>
      <c r="J26" s="14" t="n">
        <v>7.47</v>
      </c>
      <c r="K26" s="18" t="n">
        <v>7.45</v>
      </c>
      <c r="L26" s="14" t="n">
        <v>0.54</v>
      </c>
      <c r="M26" s="17" t="n"/>
      <c r="N26" s="17" t="inlineStr"/>
    </row>
    <row r="27">
      <c r="A27" s="17" t="inlineStr">
        <is>
          <t>S011</t>
        </is>
      </c>
      <c r="B27" s="14" t="n">
        <v>70</v>
      </c>
      <c r="C27" s="14" t="n"/>
      <c r="D27" s="14" t="n"/>
      <c r="E27" s="14" t="n"/>
      <c r="F27" s="17" t="inlineStr">
        <is>
          <t>NT</t>
        </is>
      </c>
      <c r="G27" s="14" t="n"/>
      <c r="H27" s="14" t="n">
        <v>7.53</v>
      </c>
      <c r="I27" s="14" t="n">
        <v>7.58</v>
      </c>
      <c r="J27" s="14" t="n">
        <v>7.55</v>
      </c>
      <c r="K27" s="18" t="n">
        <v>7.55</v>
      </c>
      <c r="L27" s="14" t="n">
        <v>2.01</v>
      </c>
      <c r="M27" s="17" t="n"/>
      <c r="N27" s="17" t="inlineStr">
        <is>
          <t>thermal</t>
        </is>
      </c>
    </row>
    <row r="28">
      <c r="A28" s="17" t="n"/>
      <c r="B28" s="14" t="n"/>
      <c r="C28" s="14" t="n"/>
      <c r="D28" s="14" t="n"/>
      <c r="E28" s="14" t="n"/>
      <c r="F28" s="17" t="n"/>
      <c r="G28" s="14" t="n"/>
      <c r="H28" s="14" t="n"/>
      <c r="I28" s="14" t="n"/>
      <c r="J28" s="14" t="n"/>
      <c r="K28" s="18">
        <f>IF(COUNT(H28:J28)=0,"",AVERAGE(H28:J28))</f>
        <v/>
      </c>
      <c r="L28" s="14" t="n"/>
      <c r="M28" s="17" t="n"/>
      <c r="N28" s="17" t="n"/>
    </row>
    <row r="29">
      <c r="A29" s="17" t="n"/>
      <c r="B29" s="14" t="n"/>
      <c r="C29" s="14" t="n"/>
      <c r="D29" s="14" t="n"/>
      <c r="E29" s="14" t="n"/>
      <c r="F29" s="17" t="n"/>
      <c r="G29" s="14" t="n"/>
      <c r="H29" s="14" t="n"/>
      <c r="I29" s="14" t="n"/>
      <c r="J29" s="14" t="n"/>
      <c r="K29" s="18">
        <f>IF(COUNT(H29:J29)=0,"",AVERAGE(H29:J29))</f>
        <v/>
      </c>
      <c r="L29" s="14" t="n"/>
      <c r="M29" s="17" t="n"/>
      <c r="N29" s="17" t="n"/>
    </row>
    <row r="30">
      <c r="A30" s="17" t="n"/>
      <c r="B30" s="14" t="n"/>
      <c r="C30" s="14" t="n"/>
      <c r="D30" s="14" t="n"/>
      <c r="E30" s="14" t="n"/>
      <c r="F30" s="17" t="n"/>
      <c r="G30" s="14" t="n"/>
      <c r="H30" s="14" t="n"/>
      <c r="I30" s="14" t="n"/>
      <c r="J30" s="14" t="n"/>
      <c r="K30" s="18">
        <f>IF(COUNT(H30:J30)=0,"",AVERAGE(H30:J30))</f>
        <v/>
      </c>
      <c r="L30" s="14" t="n"/>
      <c r="M30" s="17" t="n"/>
      <c r="N30" s="17" t="n"/>
    </row>
    <row r="31">
      <c r="A31" s="17" t="n"/>
      <c r="B31" s="14" t="n"/>
      <c r="C31" s="14" t="n"/>
      <c r="D31" s="14" t="n"/>
      <c r="E31" s="14" t="n"/>
      <c r="F31" s="17" t="n"/>
      <c r="G31" s="14" t="n"/>
      <c r="H31" s="14" t="n"/>
      <c r="I31" s="14" t="n"/>
      <c r="J31" s="14" t="n"/>
      <c r="K31" s="18">
        <f>IF(COUNT(H31:J31)=0,"",AVERAGE(H31:J31))</f>
        <v/>
      </c>
      <c r="L31" s="14" t="n"/>
      <c r="M31" s="17" t="n"/>
      <c r="N31" s="17" t="n"/>
    </row>
    <row r="32">
      <c r="A32" s="17" t="n"/>
      <c r="B32" s="14" t="n"/>
      <c r="C32" s="14" t="n"/>
      <c r="D32" s="14" t="n"/>
      <c r="E32" s="14" t="n"/>
      <c r="F32" s="17" t="n"/>
      <c r="G32" s="14" t="n"/>
      <c r="H32" s="14" t="n"/>
      <c r="I32" s="14" t="n"/>
      <c r="J32" s="14" t="n"/>
      <c r="K32" s="18">
        <f>IF(COUNT(H32:J32)=0,"",AVERAGE(H32:J32))</f>
        <v/>
      </c>
      <c r="L32" s="14" t="n"/>
      <c r="M32" s="17" t="n"/>
      <c r="N32" s="17" t="n"/>
    </row>
    <row r="33">
      <c r="A33" s="17" t="n"/>
      <c r="B33" s="14" t="n"/>
      <c r="C33" s="14" t="n"/>
      <c r="D33" s="14" t="n"/>
      <c r="E33" s="14" t="n"/>
      <c r="F33" s="17" t="n"/>
      <c r="G33" s="14" t="n"/>
      <c r="H33" s="14" t="n"/>
      <c r="I33" s="14" t="n"/>
      <c r="J33" s="14" t="n"/>
      <c r="K33" s="18">
        <f>IF(COUNT(H33:J33)=0,"",AVERAGE(H33:J33))</f>
        <v/>
      </c>
      <c r="L33" s="14" t="n"/>
      <c r="M33" s="17" t="n"/>
      <c r="N33" s="17" t="n"/>
    </row>
    <row r="34">
      <c r="A34" s="17" t="n"/>
      <c r="B34" s="14" t="n"/>
      <c r="C34" s="14" t="n"/>
      <c r="D34" s="14" t="n"/>
      <c r="E34" s="14" t="n"/>
      <c r="F34" s="17" t="n"/>
      <c r="G34" s="14" t="n"/>
      <c r="H34" s="14" t="n"/>
      <c r="I34" s="14" t="n"/>
      <c r="J34" s="14" t="n"/>
      <c r="K34" s="18">
        <f>IF(COUNT(H34:J34)=0,"",AVERAGE(H34:J34))</f>
        <v/>
      </c>
      <c r="L34" s="14" t="n"/>
      <c r="M34" s="17" t="n"/>
      <c r="N34" s="17" t="n"/>
    </row>
    <row r="35">
      <c r="A35" s="17" t="n"/>
      <c r="B35" s="14" t="n"/>
      <c r="C35" s="14" t="n"/>
      <c r="D35" s="14" t="n"/>
      <c r="E35" s="14" t="n"/>
      <c r="F35" s="17" t="n"/>
      <c r="G35" s="14" t="n"/>
      <c r="H35" s="14" t="n"/>
      <c r="I35" s="14" t="n"/>
      <c r="J35" s="14" t="n"/>
      <c r="K35" s="18">
        <f>IF(COUNT(H35:J35)=0,"",AVERAGE(H35:J35))</f>
        <v/>
      </c>
      <c r="L35" s="14" t="n"/>
      <c r="M35" s="17" t="n"/>
      <c r="N35" s="17" t="n"/>
    </row>
    <row r="36">
      <c r="A36" s="17" t="n"/>
      <c r="B36" s="14" t="n"/>
      <c r="C36" s="14" t="n"/>
      <c r="D36" s="14" t="n"/>
      <c r="E36" s="14" t="n"/>
      <c r="F36" s="17" t="n"/>
      <c r="G36" s="14" t="n"/>
      <c r="H36" s="14" t="n"/>
      <c r="I36" s="14" t="n"/>
      <c r="J36" s="14" t="n"/>
      <c r="K36" s="18">
        <f>IF(COUNT(H36:J36)=0,"",AVERAGE(H36:J36))</f>
        <v/>
      </c>
      <c r="L36" s="14" t="n"/>
      <c r="M36" s="17" t="n"/>
      <c r="N36" s="17" t="n"/>
    </row>
    <row r="38">
      <c r="A38" s="5" t="inlineStr">
        <is>
          <t>During test</t>
        </is>
      </c>
      <c r="B38" s="6" t="n"/>
      <c r="C38" s="6" t="n"/>
      <c r="D38" s="7" t="n"/>
      <c r="E38" s="8" t="inlineStr">
        <is>
          <t>No abnormalities</t>
        </is>
      </c>
      <c r="F38" s="9" t="n"/>
      <c r="G38" s="9" t="n"/>
      <c r="H38" s="9" t="n"/>
      <c r="I38" s="9" t="n"/>
      <c r="J38" s="9" t="n"/>
      <c r="K38" s="9" t="n"/>
      <c r="L38" s="10" t="n"/>
    </row>
    <row r="39">
      <c r="A39" s="5" t="inlineStr">
        <is>
          <t>After test</t>
        </is>
      </c>
      <c r="B39" s="6" t="n"/>
      <c r="C39" s="6" t="n"/>
      <c r="D39" s="7" t="n"/>
      <c r="E39" s="8" t="inlineStr">
        <is>
          <t>No abnormalities</t>
        </is>
      </c>
      <c r="F39" s="9" t="n"/>
      <c r="G39" s="9" t="n"/>
      <c r="H39" s="9" t="n"/>
      <c r="I39" s="9" t="n"/>
      <c r="J39" s="9" t="n"/>
      <c r="K39" s="9" t="n"/>
      <c r="L39" s="10" t="n"/>
    </row>
    <row r="40">
      <c r="A40" s="15" t="inlineStr">
        <is>
          <t>Physical inspection of transformer after untanking</t>
        </is>
      </c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7" t="n"/>
    </row>
    <row r="41">
      <c r="A41" s="5" t="inlineStr">
        <is>
          <t>Finding after untanking (summary)</t>
        </is>
      </c>
      <c r="B41" s="6" t="n"/>
      <c r="C41" s="6" t="n"/>
      <c r="D41" s="7" t="n"/>
      <c r="E41" s="8" t="inlineStr">
        <is>
          <t>Conductor, core &amp; clampings: no visible damage; spacers/support blocks: intact; oil: clear</t>
        </is>
      </c>
      <c r="F41" s="9" t="n"/>
      <c r="G41" s="9" t="n"/>
      <c r="H41" s="9" t="n"/>
      <c r="I41" s="9" t="n"/>
      <c r="J41" s="9" t="n"/>
      <c r="K41" s="9" t="n"/>
      <c r="L41" s="10" t="n"/>
    </row>
    <row r="42">
      <c r="A42" s="5" t="inlineStr">
        <is>
          <t>Conductor, Core &amp; clampings</t>
        </is>
      </c>
      <c r="B42" s="6" t="n"/>
      <c r="C42" s="6" t="n"/>
      <c r="D42" s="7" t="n"/>
      <c r="E42" s="8" t="n"/>
      <c r="F42" s="9" t="n"/>
      <c r="G42" s="9" t="n"/>
      <c r="H42" s="9" t="n"/>
      <c r="I42" s="9" t="n"/>
      <c r="J42" s="9" t="n"/>
      <c r="K42" s="9" t="n"/>
      <c r="L42" s="10" t="n"/>
    </row>
    <row r="43">
      <c r="A43" s="5" t="inlineStr">
        <is>
          <t>Spacers / Support blocks</t>
        </is>
      </c>
      <c r="B43" s="6" t="n"/>
      <c r="C43" s="6" t="n"/>
      <c r="D43" s="7" t="n"/>
      <c r="E43" s="8" t="n"/>
      <c r="F43" s="9" t="n"/>
      <c r="G43" s="9" t="n"/>
      <c r="H43" s="9" t="n"/>
      <c r="I43" s="9" t="n"/>
      <c r="J43" s="9" t="n"/>
      <c r="K43" s="9" t="n"/>
      <c r="L43" s="10" t="n"/>
    </row>
    <row r="44">
      <c r="A44" s="5" t="inlineStr">
        <is>
          <t>Oil</t>
        </is>
      </c>
      <c r="B44" s="6" t="n"/>
      <c r="C44" s="6" t="n"/>
      <c r="D44" s="7" t="n"/>
      <c r="E44" s="8" t="n"/>
      <c r="F44" s="9" t="n"/>
      <c r="G44" s="9" t="n"/>
      <c r="H44" s="9" t="n"/>
      <c r="I44" s="9" t="n"/>
      <c r="J44" s="9" t="n"/>
      <c r="K44" s="9" t="n"/>
      <c r="L44" s="10" t="n"/>
    </row>
    <row r="45">
      <c r="A45" s="8" t="n"/>
      <c r="B45" s="9" t="n"/>
      <c r="C45" s="9" t="n"/>
      <c r="D45" s="9" t="n"/>
      <c r="E45" s="9" t="n"/>
      <c r="F45" s="10" t="n"/>
      <c r="G45" s="8" t="n"/>
      <c r="H45" s="9" t="n"/>
      <c r="I45" s="9" t="n"/>
      <c r="J45" s="9" t="n"/>
      <c r="K45" s="9" t="n"/>
      <c r="L45" s="10" t="n"/>
    </row>
    <row r="46">
      <c r="A46" s="19" t="inlineStr">
        <is>
          <t>Customer's Signature</t>
        </is>
      </c>
      <c r="G46" s="19" t="inlineStr">
        <is>
          <t>Test Engineer</t>
        </is>
      </c>
    </row>
    <row r="48">
      <c r="A48" s="20" t="inlineStr">
        <is>
          <t>APPROVED BY          Document: FORMS &amp; FORMATS   SECTION : 55   PAGE NO. 1 OF 1   ISSUE NO.: 04   REVISION NO. : 00   DATE : 01.06.19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42">
    <mergeCell ref="F15:F16"/>
    <mergeCell ref="E43:L43"/>
    <mergeCell ref="J6:L6"/>
    <mergeCell ref="A8:D8"/>
    <mergeCell ref="A46:F46"/>
    <mergeCell ref="G6:I6"/>
    <mergeCell ref="A38:D38"/>
    <mergeCell ref="E42:L42"/>
    <mergeCell ref="A43:D43"/>
    <mergeCell ref="D7:F7"/>
    <mergeCell ref="A3:L3"/>
    <mergeCell ref="L15:L16"/>
    <mergeCell ref="E39:L39"/>
    <mergeCell ref="E8:L8"/>
    <mergeCell ref="A44:D44"/>
    <mergeCell ref="J7:L7"/>
    <mergeCell ref="A2:L2"/>
    <mergeCell ref="M15:M16"/>
    <mergeCell ref="E44:L44"/>
    <mergeCell ref="E38:L38"/>
    <mergeCell ref="A39:D39"/>
    <mergeCell ref="G45:L45"/>
    <mergeCell ref="G15:G16"/>
    <mergeCell ref="A4:L4"/>
    <mergeCell ref="B15:B16"/>
    <mergeCell ref="H15:J15"/>
    <mergeCell ref="G46:L46"/>
    <mergeCell ref="A40:L40"/>
    <mergeCell ref="A41:D41"/>
    <mergeCell ref="N15:N16"/>
    <mergeCell ref="C15:E15"/>
    <mergeCell ref="A14:N14"/>
    <mergeCell ref="A48:L48"/>
    <mergeCell ref="A45:F45"/>
    <mergeCell ref="E41:L41"/>
    <mergeCell ref="A6:C6"/>
    <mergeCell ref="D6:F6"/>
    <mergeCell ref="G7:I7"/>
    <mergeCell ref="A15:A16"/>
    <mergeCell ref="K15:K16"/>
    <mergeCell ref="A7:C7"/>
    <mergeCell ref="A42:D42"/>
  </mergeCells>
  <dataValidations count="14">
    <dataValidation sqref="J7:L7" showDropDown="0" showInputMessage="0" showErrorMessage="1" allowBlank="1" errorTitle="Check this value" error="Enter a date (dd-mm-yyyy)" type="date" operator="greaterThanOrEqual">
      <formula1>36526</formula1>
    </dataValidation>
    <dataValidation sqref="B10:B12" showDropDown="0" showInputMessage="0" showErrorMessage="1" allowBlank="1" errorTitle="Check this value" error="Enter a number between 0 and 500 (kA rms)" type="decimal" operator="between">
      <formula1>0</formula1>
      <formula2>500</formula2>
    </dataValidation>
    <dataValidation sqref="C10:C12" showDropDown="0" showInputMessage="0" showErrorMessage="1" allowBlank="1" errorTitle="Check this value" error="Enter a number between 0 and 1500 (kA peak)" type="decimal" operator="between">
      <formula1>0</formula1>
      <formula2>1500</formula2>
    </dataValidation>
    <dataValidation sqref="B17:B36" showDropDown="0" showInputMessage="0" showErrorMessage="1" allowBlank="1" errorTitle="Check this value" error="Enter a number (Dial)" type="decimal" operator="between">
      <formula1>-1000000000.0</formula1>
      <formula2>1000000000.0</formula2>
    </dataValidation>
    <dataValidation sqref="C17:C36" showDropDown="0" showInputMessage="0" showErrorMessage="1" allowBlank="1" errorTitle="Check this value" error="Enter a number (U (kV))" type="decimal" operator="between">
      <formula1>-1000000000.0</formula1>
      <formula2>1000000000.0</formula2>
    </dataValidation>
    <dataValidation sqref="D17:D36" showDropDown="0" showInputMessage="0" showErrorMessage="1" allowBlank="1" errorTitle="Check this value" error="Enter a number (V (kV))" type="decimal" operator="between">
      <formula1>-1000000000.0</formula1>
      <formula2>1000000000.0</formula2>
    </dataValidation>
    <dataValidation sqref="E17:E36" showDropDown="0" showInputMessage="0" showErrorMessage="1" allowBlank="1" errorTitle="Check this value" error="Enter a number (W (kV))" type="decimal" operator="between">
      <formula1>-1000000000.0</formula1>
      <formula2>1000000000.0</formula2>
    </dataValidation>
    <dataValidation sqref="F17:F36" showDropDown="0" showInputMessage="0" showErrorMessage="1" allowBlank="1" errorTitle="Check this value" error="Choose one of the listed values (or keep what you typed if it is on the paper sheet)" type="list" errorStyle="warning">
      <formula1>"NT,HT,LT"</formula1>
    </dataValidation>
    <dataValidation sqref="G17:G36" showDropDown="0" showInputMessage="0" showErrorMessage="1" allowBlank="1" errorTitle="Check this value" error="Enter a number (Peak (kA))" type="decimal" operator="between">
      <formula1>-1000000000.0</formula1>
      <formula2>1000000000.0</formula2>
    </dataValidation>
    <dataValidation sqref="H17:H36" showDropDown="0" showInputMessage="0" showErrorMessage="1" allowBlank="1" errorTitle="Check this value" error="Enter a number (RMS (U))" type="decimal" operator="between">
      <formula1>-1000000000.0</formula1>
      <formula2>1000000000.0</formula2>
    </dataValidation>
    <dataValidation sqref="I17:I36" showDropDown="0" showInputMessage="0" showErrorMessage="1" allowBlank="1" errorTitle="Check this value" error="Enter a number (RMS (V))" type="decimal" operator="between">
      <formula1>-1000000000.0</formula1>
      <formula2>1000000000.0</formula2>
    </dataValidation>
    <dataValidation sqref="J17:J36" showDropDown="0" showInputMessage="0" showErrorMessage="1" allowBlank="1" errorTitle="Check this value" error="Enter a number (RMS (W))" type="decimal" operator="between">
      <formula1>-1000000000.0</formula1>
      <formula2>1000000000.0</formula2>
    </dataValidation>
    <dataValidation sqref="L17:L36" showDropDown="0" showInputMessage="0" showErrorMessage="1" allowBlank="1" errorTitle="Check this value" error="Enter a number between 0 and 10 (Duration in (s))" type="decimal" operator="between">
      <formula1>0</formula1>
      <formula2>10</formula2>
    </dataValidation>
    <dataValidation sqref="N17:N36" showDropDown="0" showInputMessage="0" showErrorMessage="1" allowBlank="1" errorTitle="Check this value" error="Choose one of the listed values (or keep what you typed if it is on the paper sheet)" type="list" errorStyle="warning">
      <formula1>"calibration,thermal"</formula1>
    </dataValidation>
  </dataValidations>
  <pageMargins left="0.75" right="0.75" top="1" bottom="1" header="0.5" footer="0.5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2026-10-10T20:28:00Z</dcterms:created>
  <dcterms:modified xsi:type="dcterms:W3CDTF">2026-10-10T20:28:00Z</dcterms:modified>
</cp:coreProperties>
</file>