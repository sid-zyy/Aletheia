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erature-Rise Test" sheetId="1" state="visible" r:id="rId1"/>
  </sheets>
  <definedNames>
    <definedName name="TR2_SERIES">'Temperature-Rise Test'!$E$6</definedName>
    <definedName name="TR2_SAMPLE">'Temperature-Rise Test'!$M$6</definedName>
    <definedName name="TR2_CUSTOMER">'Temperature-Rise Test'!$F$7</definedName>
    <definedName name="TR2_KVA">'Temperature-Rise Test'!$E$8</definedName>
    <definedName name="TR2_PHASES">'Temperature-Rise Test'!$M$8</definedName>
    <definedName name="TR2_HV">'Temperature-Rise Test'!$E$9</definedName>
    <definedName name="TR2_I_HV">'Temperature-Rise Test'!$M$9</definedName>
    <definedName name="TR2_LV">'Temperature-Rise Test'!$E$10</definedName>
    <definedName name="TR2_I_LV">'Temperature-Rise Test'!$M$10</definedName>
    <definedName name="TR2_TYPE">'Temperature-Rise Test'!$E$11</definedName>
    <definedName name="TR2_STANDARD">'Temperature-Rise Test'!$M$11</definedName>
    <definedName name="TR2_INSTRUCTIONS">'Temperature-Rise Test'!$E$12</definedName>
    <definedName name="TR2_CONDITION">'Temperature-Rise Test'!$M$12</definedName>
    <definedName name="TR2_DATES">'Temperature-Rise Test'!$F$13</definedName>
    <definedName name="TR2_SOURCE">'Temperature-Rise Test'!$F$14</definedName>
    <definedName name="TR2_METHOD">'Temperature-Rise Test'!$F$15</definedName>
    <definedName name="TR2_CONNECTIONS">'Temperature-Rise Test'!$F$16</definedName>
    <definedName name="TR2_INJ_TEMP">'Temperature-Rise Test'!$F$18</definedName>
    <definedName name="TR2_NLL">'Temperature-Rise Test'!$E$19</definedName>
    <definedName name="TR2_FLL">'Temperature-Rise Test'!$M$19</definedName>
    <definedName name="TR2_TOTAL">'Temperature-Rise Test'!$F$20</definedName>
    <definedName name="TR2_DRY_NOTE">'Temperature-Rise Test'!$F$21</definedName>
    <definedName name="TR2_N_TAPS">'Temperature-Rise Test'!$E$22</definedName>
    <definedName name="TR2_TAP">'Temperature-Rise Test'!$M$22</definedName>
    <definedName name="TR2_CURRENT">'Temperature-Rise Test'!$F$23</definedName>
    <definedName name="TR2_RHV_COLD">'Temperature-Rise Test'!$E$24</definedName>
    <definedName name="TR2_RLV_COLD">'Temperature-Rise Test'!$M$24</definedName>
    <definedName name="TR2_AMB_COLD">'Temperature-Rise Test'!$F$25</definedName>
    <definedName name="TR2_OIL_RISE_REPORTED">'Temperature-Rise Test'!$F$47</definedName>
    <definedName name="TR2_SIG_CUSTOMER">'Temperature-Rise Test'!$A$48</definedName>
    <definedName name="TR2_SIG_TESTED_BY">'Temperature-Rise Test'!$F$48</definedName>
    <definedName name="TR2_SIG_ENGINEER">'Temperature-Rise Test'!$K$48</definedName>
    <definedName name="TR2_RATED_INJ_A">'Temperature-Rise Test'!$F$52</definedName>
    <definedName name="TR2_HOT_SIDE">'Temperature-Rise Test'!$F$53</definedName>
    <definedName name="TR2_MATERIAL">'Temperature-Rise Test'!$E$54</definedName>
    <definedName name="TR2_MATERIAL_K">'Temperature-Rise Test'!$M$54</definedName>
    <definedName name="TR2_CORR_WRITTEN">'Temperature-Rise Test'!$F$55</definedName>
    <definedName name="TR2_T_SHUTDOWN">'Temperature-Rise Test'!$E$56</definedName>
    <definedName name="TR2_AMB_SD">'Temperature-Rise Test'!$M$56</definedName>
    <definedName name="TR2_RHV_HOT">'Temperature-Rise Test'!$F$61</definedName>
    <definedName name="TR2_CORR">'Temperature-Rise Test'!$F$62</definedName>
    <definedName name="TR2_HV_RISE">'Temperature-Rise Test'!$F$63</definedName>
    <definedName name="TR2_HV_OBS">'Temperature-Rise Test'!$F$64</definedName>
    <definedName name="TR2_CORR_LV">'Temperature-Rise Test'!$F$66</definedName>
    <definedName name="TR2_T_SHUTDOWN_LV">'Temperature-Rise Test'!$F$67</definedName>
    <definedName name="TR2_RLV_HOT">'Temperature-Rise Test'!$F$72</definedName>
    <definedName name="TR2_LV_RISE">'Temperature-Rise Test'!$F$73</definedName>
    <definedName name="TR2_LV_OBS">'Temperature-Rise Test'!$F$74</definedName>
    <definedName name="TR2_SIG_CUSTOMER_2">'Temperature-Rise Test'!$A$82</definedName>
    <definedName name="TR2_SIG_ENGINEER_2">'Temperature-Rise Test'!$I$82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color rgb="00FFFFFF"/>
      <sz val="6"/>
    </font>
    <font>
      <i val="1"/>
      <color rgb="001C3D6E"/>
      <sz val="9"/>
    </font>
    <font>
      <b val="1"/>
      <sz val="12"/>
    </font>
    <font>
      <b val="1"/>
      <sz val="13"/>
      <u val="single"/>
    </font>
    <font>
      <sz val="10"/>
    </font>
    <font>
      <b val="1"/>
      <sz val="11"/>
    </font>
    <font>
      <b val="1"/>
      <sz val="10"/>
    </font>
    <font>
      <color rgb="0056667F"/>
      <sz val="8"/>
    </font>
    <font>
      <b val="1"/>
    </font>
  </fonts>
  <fills count="7">
    <fill>
      <patternFill/>
    </fill>
    <fill>
      <patternFill patternType="gray125"/>
    </fill>
    <fill>
      <patternFill patternType="solid">
        <fgColor rgb="00EAF3FB"/>
      </patternFill>
    </fill>
    <fill>
      <patternFill patternType="solid">
        <fgColor rgb="00EEF1F5"/>
      </patternFill>
    </fill>
    <fill>
      <patternFill patternType="solid">
        <fgColor rgb="00DFE7F1"/>
      </patternFill>
    </fill>
    <fill>
      <patternFill patternType="solid">
        <fgColor rgb="00FFFBEA"/>
      </patternFill>
    </fill>
    <fill>
      <patternFill patternType="solid">
        <fgColor rgb="00E3E6EA"/>
      </patternFill>
    </fill>
  </fills>
  <borders count="9">
    <border>
      <left/>
      <right/>
      <top/>
      <bottom/>
      <diagonal/>
    </border>
    <border>
      <left style="thin">
        <color rgb="009AA8BD"/>
      </left>
      <right style="thin">
        <color rgb="009AA8BD"/>
      </right>
      <top style="thin">
        <color rgb="009AA8BD"/>
      </top>
      <bottom style="thin">
        <color rgb="009AA8BD"/>
      </bottom>
    </border>
    <border>
      <left/>
      <right/>
      <top style="thin">
        <color rgb="009AA8BD"/>
      </top>
      <bottom/>
      <diagonal/>
    </border>
    <border>
      <left/>
      <right style="thin">
        <color rgb="009AA8BD"/>
      </right>
      <top style="thin">
        <color rgb="009AA8BD"/>
      </top>
      <bottom/>
      <diagonal/>
    </border>
    <border>
      <left/>
      <right/>
      <top style="thin">
        <color rgb="009AA8BD"/>
      </top>
      <bottom style="thin">
        <color rgb="009AA8BD"/>
      </bottom>
      <diagonal/>
    </border>
    <border>
      <left/>
      <right style="thin">
        <color rgb="009AA8BD"/>
      </right>
      <top style="thin">
        <color rgb="009AA8BD"/>
      </top>
      <bottom style="thin">
        <color rgb="009AA8BD"/>
      </bottom>
      <diagonal/>
    </border>
    <border>
      <left style="thin">
        <color rgb="009AA8BD"/>
      </left>
      <right/>
      <top/>
      <bottom/>
      <diagonal/>
    </border>
    <border>
      <left style="thin">
        <color rgb="009AA8BD"/>
      </left>
      <right style="thin">
        <color rgb="009AA8BD"/>
      </right>
      <top/>
      <bottom/>
      <diagonal/>
    </border>
    <border>
      <left style="thin">
        <color rgb="009AA8BD"/>
      </left>
      <right style="thin">
        <color rgb="009AA8BD"/>
      </right>
      <top/>
      <bottom style="thin">
        <color rgb="009AA8BD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49" fontId="0" fillId="5" borderId="1" applyAlignment="1" applyProtection="1" pivotButton="0" quotePrefix="0" xfId="0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5" borderId="1" applyAlignment="1" applyProtection="1" pivotButton="0" quotePrefix="0" xfId="0">
      <alignment horizontal="left" vertical="center" wrapText="1"/>
      <protection locked="0" hidden="0"/>
    </xf>
    <xf numFmtId="0" fontId="6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9" fillId="3" borderId="1" applyAlignment="1" pivotButton="0" quotePrefix="0" xfId="0">
      <alignment horizontal="center" vertical="center"/>
    </xf>
    <xf numFmtId="49" fontId="0" fillId="5" borderId="1" applyProtection="1" pivotButton="0" quotePrefix="0" xfId="0">
      <protection locked="0" hidden="0"/>
    </xf>
    <xf numFmtId="0" fontId="0" fillId="5" borderId="1" applyProtection="1" pivotButton="0" quotePrefix="0" xfId="0">
      <protection locked="0" hidden="0"/>
    </xf>
    <xf numFmtId="2" fontId="0" fillId="6" borderId="1" pivotButton="0" quotePrefix="0" xfId="0"/>
    <xf numFmtId="0" fontId="7" fillId="0" borderId="0" applyAlignment="1" pivotButton="0" quotePrefix="0" xfId="0">
      <alignment horizontal="center" vertical="top"/>
    </xf>
    <xf numFmtId="0" fontId="7" fillId="3" borderId="1" applyAlignment="1" pivotButton="0" quotePrefix="0" xfId="0">
      <alignment vertical="center" wrapText="1"/>
    </xf>
    <xf numFmtId="0" fontId="9" fillId="3" borderId="1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8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12" customWidth="1" min="9" max="9"/>
    <col width="12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</cols>
  <sheetData>
    <row r="1" hidden="1">
      <c r="A1" s="1" t="inlineStr">
        <is>
          <t>Aletheia template temp v2</t>
        </is>
      </c>
    </row>
    <row r="2" ht="30" customHeight="1">
      <c r="A2" s="2" t="inlineStr">
        <is>
          <t>Fill in the yellow cells as on the paper logsheet. Grey cells are printed text or are calculated; they are locked. Choose from the list where a cell offers one; readings must be numbers and dates must be dates (dd-mm-yyyy). Leave a cell empty if the value is not on the sheet: it is recorded as NA.</t>
        </is>
      </c>
    </row>
    <row r="3" ht="18" customHeight="1">
      <c r="A3" s="3" t="inlineStr">
        <is>
          <t>SHORT CIRCUIT LABORATORY</t>
        </is>
      </c>
    </row>
    <row r="4" ht="20" customHeight="1">
      <c r="A4" s="4" t="inlineStr">
        <is>
          <t>Log Sheet for temperature - rise test on Oil immersed / Dry type transformers</t>
        </is>
      </c>
    </row>
    <row r="6">
      <c r="A6" s="5" t="inlineStr">
        <is>
          <t>Test Series Number</t>
        </is>
      </c>
      <c r="B6" s="6" t="n"/>
      <c r="C6" s="6" t="n"/>
      <c r="D6" s="7" t="n"/>
      <c r="E6" s="8" t="inlineStr">
        <is>
          <t>25T1654</t>
        </is>
      </c>
      <c r="F6" s="9" t="n"/>
      <c r="G6" s="9" t="n"/>
      <c r="H6" s="10" t="n"/>
      <c r="I6" s="5" t="inlineStr">
        <is>
          <t>Sample Number</t>
        </is>
      </c>
      <c r="J6" s="6" t="n"/>
      <c r="K6" s="6" t="n"/>
      <c r="L6" s="7" t="n"/>
      <c r="M6" s="8" t="inlineStr">
        <is>
          <t>HVD25S0847</t>
        </is>
      </c>
      <c r="N6" s="9" t="n"/>
      <c r="O6" s="9" t="n"/>
      <c r="P6" s="10" t="n"/>
    </row>
    <row r="7">
      <c r="A7" s="5" t="inlineStr">
        <is>
          <t>Name of the Customer / Manufacturer</t>
        </is>
      </c>
      <c r="B7" s="6" t="n"/>
      <c r="C7" s="6" t="n"/>
      <c r="D7" s="6" t="n"/>
      <c r="E7" s="7" t="n"/>
      <c r="F7" s="8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10" t="n"/>
    </row>
    <row r="8">
      <c r="A8" s="5" t="inlineStr">
        <is>
          <t>Rating: kVA</t>
        </is>
      </c>
      <c r="B8" s="6" t="n"/>
      <c r="C8" s="6" t="n"/>
      <c r="D8" s="7" t="n"/>
      <c r="E8" s="11" t="n"/>
      <c r="F8" s="9" t="n"/>
      <c r="G8" s="9" t="n"/>
      <c r="H8" s="10" t="n"/>
      <c r="I8" s="5" t="inlineStr">
        <is>
          <t>No. of Phases</t>
        </is>
      </c>
      <c r="J8" s="6" t="n"/>
      <c r="K8" s="6" t="n"/>
      <c r="L8" s="7" t="n"/>
      <c r="M8" s="11" t="n"/>
      <c r="N8" s="9" t="n"/>
      <c r="O8" s="9" t="n"/>
      <c r="P8" s="10" t="n"/>
    </row>
    <row r="9">
      <c r="A9" s="5" t="inlineStr">
        <is>
          <t>Voltage Class: HV (V)</t>
        </is>
      </c>
      <c r="B9" s="6" t="n"/>
      <c r="C9" s="6" t="n"/>
      <c r="D9" s="7" t="n"/>
      <c r="E9" s="11" t="n"/>
      <c r="F9" s="9" t="n"/>
      <c r="G9" s="9" t="n"/>
      <c r="H9" s="10" t="n"/>
      <c r="I9" s="5" t="inlineStr">
        <is>
          <t>Rated HV Current (A)</t>
        </is>
      </c>
      <c r="J9" s="6" t="n"/>
      <c r="K9" s="6" t="n"/>
      <c r="L9" s="7" t="n"/>
      <c r="M9" s="11" t="n"/>
      <c r="N9" s="9" t="n"/>
      <c r="O9" s="9" t="n"/>
      <c r="P9" s="10" t="n"/>
    </row>
    <row r="10">
      <c r="A10" s="5" t="inlineStr">
        <is>
          <t>Voltage Class: LV (V)</t>
        </is>
      </c>
      <c r="B10" s="6" t="n"/>
      <c r="C10" s="6" t="n"/>
      <c r="D10" s="7" t="n"/>
      <c r="E10" s="11" t="n"/>
      <c r="F10" s="9" t="n"/>
      <c r="G10" s="9" t="n"/>
      <c r="H10" s="10" t="n"/>
      <c r="I10" s="5" t="inlineStr">
        <is>
          <t>Rated LV Current (A)</t>
        </is>
      </c>
      <c r="J10" s="6" t="n"/>
      <c r="K10" s="6" t="n"/>
      <c r="L10" s="7" t="n"/>
      <c r="M10" s="11" t="n"/>
      <c r="N10" s="9" t="n"/>
      <c r="O10" s="9" t="n"/>
      <c r="P10" s="10" t="n"/>
    </row>
    <row r="11">
      <c r="A11" s="5" t="inlineStr">
        <is>
          <t>Type: Oil Cooled / Dry Type</t>
        </is>
      </c>
      <c r="B11" s="6" t="n"/>
      <c r="C11" s="6" t="n"/>
      <c r="D11" s="7" t="n"/>
      <c r="E11" s="8" t="n"/>
      <c r="F11" s="9" t="n"/>
      <c r="G11" s="9" t="n"/>
      <c r="H11" s="10" t="n"/>
      <c r="I11" s="5" t="inlineStr">
        <is>
          <t>In Accordance with (IS / IEC / Other)</t>
        </is>
      </c>
      <c r="J11" s="6" t="n"/>
      <c r="K11" s="6" t="n"/>
      <c r="L11" s="7" t="n"/>
      <c r="M11" s="8" t="n"/>
      <c r="N11" s="9" t="n"/>
      <c r="O11" s="9" t="n"/>
      <c r="P11" s="10" t="n"/>
    </row>
    <row r="12">
      <c r="A12" s="5" t="inlineStr">
        <is>
          <t>Customers Instructions</t>
        </is>
      </c>
      <c r="B12" s="6" t="n"/>
      <c r="C12" s="6" t="n"/>
      <c r="D12" s="7" t="n"/>
      <c r="E12" s="8" t="n"/>
      <c r="F12" s="9" t="n"/>
      <c r="G12" s="9" t="n"/>
      <c r="H12" s="10" t="n"/>
      <c r="I12" s="5" t="inlineStr">
        <is>
          <t>Condition of Sample</t>
        </is>
      </c>
      <c r="J12" s="6" t="n"/>
      <c r="K12" s="6" t="n"/>
      <c r="L12" s="7" t="n"/>
      <c r="M12" s="8" t="n"/>
      <c r="N12" s="9" t="n"/>
      <c r="O12" s="9" t="n"/>
      <c r="P12" s="10" t="n"/>
    </row>
    <row r="13">
      <c r="A13" s="5" t="inlineStr">
        <is>
          <t>Test Date(s)</t>
        </is>
      </c>
      <c r="B13" s="6" t="n"/>
      <c r="C13" s="6" t="n"/>
      <c r="D13" s="6" t="n"/>
      <c r="E13" s="7" t="n"/>
      <c r="F13" s="8" t="inlineStr">
        <is>
          <t>09-11-2025 to 10-11-2025</t>
        </is>
      </c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10" t="n"/>
    </row>
    <row r="14">
      <c r="A14" s="5" t="inlineStr">
        <is>
          <t>Source Utilized for Temperature Rise Test</t>
        </is>
      </c>
      <c r="B14" s="6" t="n"/>
      <c r="C14" s="6" t="n"/>
      <c r="D14" s="6" t="n"/>
      <c r="E14" s="7" t="n"/>
      <c r="F14" s="8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10" t="n"/>
    </row>
    <row r="15">
      <c r="A15" s="5" t="inlineStr">
        <is>
          <t>Test Method Employed: Short Circuit Method</t>
        </is>
      </c>
      <c r="B15" s="6" t="n"/>
      <c r="C15" s="6" t="n"/>
      <c r="D15" s="6" t="n"/>
      <c r="E15" s="7" t="n"/>
      <c r="F15" s="8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10" t="n"/>
    </row>
    <row r="16">
      <c r="A16" s="5" t="inlineStr">
        <is>
          <t>Connections (supply side connected to 3 phase AC supply; other side shorted)</t>
        </is>
      </c>
      <c r="B16" s="6" t="n"/>
      <c r="C16" s="6" t="n"/>
      <c r="D16" s="6" t="n"/>
      <c r="E16" s="7" t="n"/>
      <c r="F16" s="8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10" t="n"/>
    </row>
    <row r="17">
      <c r="A17" s="12" t="inlineStr">
        <is>
          <t>Step 1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7" t="n"/>
    </row>
    <row r="18">
      <c r="A18" s="5" t="inlineStr">
        <is>
          <t>Oil Cooled: Total loss injection (No load loss + Full load loss) at °C up to steady state</t>
        </is>
      </c>
      <c r="B18" s="6" t="n"/>
      <c r="C18" s="6" t="n"/>
      <c r="D18" s="6" t="n"/>
      <c r="E18" s="7" t="n"/>
      <c r="F18" s="11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10" t="n"/>
    </row>
    <row r="19">
      <c r="A19" s="5" t="inlineStr">
        <is>
          <t>NLL (W)</t>
        </is>
      </c>
      <c r="B19" s="6" t="n"/>
      <c r="C19" s="6" t="n"/>
      <c r="D19" s="7" t="n"/>
      <c r="E19" s="11" t="n">
        <v>383.26</v>
      </c>
      <c r="F19" s="9" t="n"/>
      <c r="G19" s="9" t="n"/>
      <c r="H19" s="10" t="n"/>
      <c r="I19" s="5" t="inlineStr">
        <is>
          <t>FLL (W)</t>
        </is>
      </c>
      <c r="J19" s="6" t="n"/>
      <c r="K19" s="6" t="n"/>
      <c r="L19" s="7" t="n"/>
      <c r="M19" s="11" t="n">
        <v>2239.94</v>
      </c>
      <c r="N19" s="9" t="n"/>
      <c r="O19" s="9" t="n"/>
      <c r="P19" s="10" t="n"/>
    </row>
    <row r="20">
      <c r="A20" s="5" t="inlineStr">
        <is>
          <t>Total Loss (W)</t>
        </is>
      </c>
      <c r="B20" s="6" t="n"/>
      <c r="C20" s="6" t="n"/>
      <c r="D20" s="6" t="n"/>
      <c r="E20" s="7" t="n"/>
      <c r="F20" s="11" t="n">
        <v>2623.2</v>
      </c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10" t="n"/>
    </row>
    <row r="21">
      <c r="A21" s="5" t="inlineStr">
        <is>
          <t>Dry Type: Applying Rated No-load Voltage on LV / HV side</t>
        </is>
      </c>
      <c r="B21" s="6" t="n"/>
      <c r="C21" s="6" t="n"/>
      <c r="D21" s="6" t="n"/>
      <c r="E21" s="7" t="n"/>
      <c r="F21" s="8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10" t="n"/>
    </row>
    <row r="22">
      <c r="A22" s="5" t="inlineStr">
        <is>
          <t>Number of Taps</t>
        </is>
      </c>
      <c r="B22" s="6" t="n"/>
      <c r="C22" s="6" t="n"/>
      <c r="D22" s="7" t="n"/>
      <c r="E22" s="11" t="n"/>
      <c r="F22" s="9" t="n"/>
      <c r="G22" s="9" t="n"/>
      <c r="H22" s="10" t="n"/>
      <c r="I22" s="5" t="inlineStr">
        <is>
          <t>Tap Position for TR Test</t>
        </is>
      </c>
      <c r="J22" s="6" t="n"/>
      <c r="K22" s="6" t="n"/>
      <c r="L22" s="7" t="n"/>
      <c r="M22" s="8" t="inlineStr">
        <is>
          <t>LT</t>
        </is>
      </c>
      <c r="N22" s="9" t="n"/>
      <c r="O22" s="9" t="n"/>
      <c r="P22" s="10" t="n"/>
    </row>
    <row r="23">
      <c r="A23" s="5" t="inlineStr">
        <is>
          <t>Current at Selected Tap (A)</t>
        </is>
      </c>
      <c r="B23" s="6" t="n"/>
      <c r="C23" s="6" t="n"/>
      <c r="D23" s="6" t="n"/>
      <c r="E23" s="7" t="n"/>
      <c r="F23" s="11" t="n">
        <v>14.58</v>
      </c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10" t="n"/>
    </row>
    <row r="24">
      <c r="A24" s="5" t="inlineStr">
        <is>
          <t>HV winding Resistance (Ω or mΩ)</t>
        </is>
      </c>
      <c r="B24" s="6" t="n"/>
      <c r="C24" s="6" t="n"/>
      <c r="D24" s="7" t="n"/>
      <c r="E24" s="11" t="n">
        <v>3.554</v>
      </c>
      <c r="F24" s="9" t="n"/>
      <c r="G24" s="9" t="n"/>
      <c r="H24" s="10" t="n"/>
      <c r="I24" s="5" t="inlineStr">
        <is>
          <t>LV winding Resistance (mΩ or µΩ)</t>
        </is>
      </c>
      <c r="J24" s="6" t="n"/>
      <c r="K24" s="6" t="n"/>
      <c r="L24" s="7" t="n"/>
      <c r="M24" s="11" t="n">
        <v>3.8844</v>
      </c>
      <c r="N24" s="9" t="n"/>
      <c r="O24" s="9" t="n"/>
      <c r="P24" s="10" t="n"/>
    </row>
    <row r="25">
      <c r="A25" s="5" t="inlineStr">
        <is>
          <t>Ambient during Cold Resistance Measurement (°C)</t>
        </is>
      </c>
      <c r="B25" s="6" t="n"/>
      <c r="C25" s="6" t="n"/>
      <c r="D25" s="6" t="n"/>
      <c r="E25" s="7" t="n"/>
      <c r="F25" s="11" t="n">
        <v>25.9</v>
      </c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10" t="n"/>
    </row>
    <row r="26">
      <c r="A26" s="12" t="inlineStr">
        <is>
          <t>Readings during Temperature Rise Test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</row>
    <row r="27">
      <c r="A27" s="13" t="inlineStr">
        <is>
          <t>Hr</t>
        </is>
      </c>
      <c r="B27" s="13" t="inlineStr">
        <is>
          <t>Time of starting test (AM/PM)</t>
        </is>
      </c>
      <c r="C27" s="13" t="inlineStr">
        <is>
          <t>Applied Total Losses NLV / FLC (W)</t>
        </is>
      </c>
      <c r="D27" s="13" t="inlineStr">
        <is>
          <t>Temperature on °C for steady state prediction</t>
        </is>
      </c>
      <c r="E27" s="7" t="n"/>
      <c r="F27" s="13" t="inlineStr">
        <is>
          <t>Ambient Temperature (°C)</t>
        </is>
      </c>
      <c r="G27" s="6" t="n"/>
      <c r="H27" s="7" t="n"/>
      <c r="I27" s="13" t="inlineStr">
        <is>
          <t>Average Ambient Temp (°C)</t>
        </is>
      </c>
      <c r="J27" s="13" t="inlineStr">
        <is>
          <t>Top oil temperature Rise (°C)</t>
        </is>
      </c>
    </row>
    <row r="28" ht="60" customHeight="1">
      <c r="A28" s="14" t="n"/>
      <c r="B28" s="14" t="n"/>
      <c r="C28" s="14" t="n"/>
      <c r="D28" s="13" t="inlineStr">
        <is>
          <t>Top oil</t>
        </is>
      </c>
      <c r="E28" s="13" t="inlineStr">
        <is>
          <t>Bottom oil</t>
        </is>
      </c>
      <c r="F28" s="13" t="inlineStr">
        <is>
          <t>Ambient 1</t>
        </is>
      </c>
      <c r="G28" s="13" t="inlineStr">
        <is>
          <t>Ambient 2</t>
        </is>
      </c>
      <c r="H28" s="13" t="inlineStr">
        <is>
          <t>Ambient 3</t>
        </is>
      </c>
      <c r="I28" s="14" t="n"/>
      <c r="J28" s="14" t="n"/>
    </row>
    <row r="29">
      <c r="A29" s="15" t="n">
        <v>0</v>
      </c>
      <c r="B29" s="16" t="n"/>
      <c r="C29" s="17" t="n"/>
      <c r="D29" s="17" t="n">
        <v>23.1</v>
      </c>
      <c r="E29" s="17" t="n">
        <v>21.65</v>
      </c>
      <c r="F29" s="17" t="n">
        <v>21.1</v>
      </c>
      <c r="G29" s="17" t="n">
        <v>21</v>
      </c>
      <c r="H29" s="17" t="n">
        <v>21.3</v>
      </c>
      <c r="I29" s="18">
        <f>IF(COUNT(F29:H29)=0,"",AVERAGE(F29:H29))</f>
        <v/>
      </c>
      <c r="J29" s="18">
        <f>IF(OR(D29="",I29=""),"",D29-I29)</f>
        <v/>
      </c>
    </row>
    <row r="30">
      <c r="A30" s="15" t="n">
        <v>1</v>
      </c>
      <c r="B30" s="16" t="n"/>
      <c r="C30" s="17" t="n"/>
      <c r="D30" s="17" t="n">
        <v>29.8</v>
      </c>
      <c r="E30" s="17" t="n">
        <v>23.25</v>
      </c>
      <c r="F30" s="17" t="n">
        <v>20.8</v>
      </c>
      <c r="G30" s="17" t="n">
        <v>20.65</v>
      </c>
      <c r="H30" s="17" t="n">
        <v>21.15</v>
      </c>
      <c r="I30" s="18">
        <f>IF(COUNT(F30:H30)=0,"",AVERAGE(F30:H30))</f>
        <v/>
      </c>
      <c r="J30" s="18">
        <f>IF(OR(D30="",I30=""),"",D30-I30)</f>
        <v/>
      </c>
    </row>
    <row r="31">
      <c r="A31" s="15" t="n">
        <v>2</v>
      </c>
      <c r="B31" s="16" t="n"/>
      <c r="C31" s="17" t="n"/>
      <c r="D31" s="17" t="n">
        <v>34.55</v>
      </c>
      <c r="E31" s="17" t="n">
        <v>26</v>
      </c>
      <c r="F31" s="17" t="n">
        <v>20.65</v>
      </c>
      <c r="G31" s="17" t="n">
        <v>20.45</v>
      </c>
      <c r="H31" s="17" t="n">
        <v>21.05</v>
      </c>
      <c r="I31" s="18">
        <f>IF(COUNT(F31:H31)=0,"",AVERAGE(F31:H31))</f>
        <v/>
      </c>
      <c r="J31" s="18">
        <f>IF(OR(D31="",I31=""),"",D31-I31)</f>
        <v/>
      </c>
    </row>
    <row r="32">
      <c r="A32" s="15" t="n">
        <v>3</v>
      </c>
      <c r="B32" s="16" t="n"/>
      <c r="C32" s="17" t="n"/>
      <c r="D32" s="17" t="n">
        <v>38.8</v>
      </c>
      <c r="E32" s="17" t="n">
        <v>28.55</v>
      </c>
      <c r="F32" s="17" t="n">
        <v>20.45</v>
      </c>
      <c r="G32" s="17" t="n">
        <v>20.95</v>
      </c>
      <c r="H32" s="17" t="n">
        <v>20.85</v>
      </c>
      <c r="I32" s="18">
        <f>IF(COUNT(F32:H32)=0,"",AVERAGE(F32:H32))</f>
        <v/>
      </c>
      <c r="J32" s="18">
        <f>IF(OR(D32="",I32=""),"",D32-I32)</f>
        <v/>
      </c>
    </row>
    <row r="33">
      <c r="A33" s="15" t="n">
        <v>4</v>
      </c>
      <c r="B33" s="16" t="n"/>
      <c r="C33" s="17" t="n"/>
      <c r="D33" s="17" t="n">
        <v>41.55</v>
      </c>
      <c r="E33" s="17" t="n">
        <v>30.5</v>
      </c>
      <c r="F33" s="17" t="n">
        <v>20.35</v>
      </c>
      <c r="G33" s="17" t="n">
        <v>20.05</v>
      </c>
      <c r="H33" s="17" t="n">
        <v>20.75</v>
      </c>
      <c r="I33" s="18">
        <f>IF(COUNT(F33:H33)=0,"",AVERAGE(F33:H33))</f>
        <v/>
      </c>
      <c r="J33" s="18">
        <f>IF(OR(D33="",I33=""),"",D33-I33)</f>
        <v/>
      </c>
    </row>
    <row r="34">
      <c r="A34" s="15" t="n">
        <v>5</v>
      </c>
      <c r="B34" s="16" t="n"/>
      <c r="C34" s="17" t="n"/>
      <c r="D34" s="17" t="n">
        <v>43.45</v>
      </c>
      <c r="E34" s="17" t="n">
        <v>31.8</v>
      </c>
      <c r="F34" s="17" t="n">
        <v>20.35</v>
      </c>
      <c r="G34" s="17" t="n">
        <v>20</v>
      </c>
      <c r="H34" s="17" t="n">
        <v>20.75</v>
      </c>
      <c r="I34" s="18">
        <f>IF(COUNT(F34:H34)=0,"",AVERAGE(F34:H34))</f>
        <v/>
      </c>
      <c r="J34" s="18">
        <f>IF(OR(D34="",I34=""),"",D34-I34)</f>
        <v/>
      </c>
    </row>
    <row r="35">
      <c r="A35" s="15" t="n">
        <v>6</v>
      </c>
      <c r="B35" s="16" t="n"/>
      <c r="C35" s="17" t="n"/>
      <c r="D35" s="17" t="n">
        <v>44</v>
      </c>
      <c r="E35" s="17" t="n">
        <v>32.2</v>
      </c>
      <c r="F35" s="17" t="n">
        <v>20.2</v>
      </c>
      <c r="G35" s="17" t="n">
        <v>19.8</v>
      </c>
      <c r="H35" s="17" t="n">
        <v>20.6</v>
      </c>
      <c r="I35" s="18">
        <f>IF(COUNT(F35:H35)=0,"",AVERAGE(F35:H35))</f>
        <v/>
      </c>
      <c r="J35" s="18">
        <f>IF(OR(D35="",I35=""),"",D35-I35)</f>
        <v/>
      </c>
    </row>
    <row r="36">
      <c r="A36" s="15" t="n">
        <v>7</v>
      </c>
      <c r="B36" s="16" t="n"/>
      <c r="C36" s="17" t="n"/>
      <c r="D36" s="17" t="n">
        <v>45.5</v>
      </c>
      <c r="E36" s="17" t="n">
        <v>33</v>
      </c>
      <c r="F36" s="17" t="n">
        <v>20.1</v>
      </c>
      <c r="G36" s="17" t="n">
        <v>19.6</v>
      </c>
      <c r="H36" s="17" t="n">
        <v>20.5</v>
      </c>
      <c r="I36" s="18">
        <f>IF(COUNT(F36:H36)=0,"",AVERAGE(F36:H36))</f>
        <v/>
      </c>
      <c r="J36" s="18">
        <f>IF(OR(D36="",I36=""),"",D36-I36)</f>
        <v/>
      </c>
    </row>
    <row r="37">
      <c r="A37" s="15" t="n">
        <v>8</v>
      </c>
      <c r="B37" s="16" t="n"/>
      <c r="C37" s="17" t="n"/>
      <c r="D37" s="17" t="n">
        <v>46</v>
      </c>
      <c r="E37" s="17" t="n">
        <v>33.6</v>
      </c>
      <c r="F37" s="17" t="n">
        <v>20</v>
      </c>
      <c r="G37" s="17" t="n">
        <v>19.5</v>
      </c>
      <c r="H37" s="17" t="n">
        <v>20.4</v>
      </c>
      <c r="I37" s="18">
        <f>IF(COUNT(F37:H37)=0,"",AVERAGE(F37:H37))</f>
        <v/>
      </c>
      <c r="J37" s="18">
        <f>IF(OR(D37="",I37=""),"",D37-I37)</f>
        <v/>
      </c>
    </row>
    <row r="38">
      <c r="A38" s="15" t="n">
        <v>9</v>
      </c>
      <c r="B38" s="16" t="n"/>
      <c r="C38" s="17" t="n"/>
      <c r="D38" s="17" t="n">
        <v>46.55</v>
      </c>
      <c r="E38" s="17" t="n">
        <v>34.05</v>
      </c>
      <c r="F38" s="17" t="n">
        <v>19.8</v>
      </c>
      <c r="G38" s="17" t="n">
        <v>19.35</v>
      </c>
      <c r="H38" s="17" t="n">
        <v>20.3</v>
      </c>
      <c r="I38" s="18">
        <f>IF(COUNT(F38:H38)=0,"",AVERAGE(F38:H38))</f>
        <v/>
      </c>
      <c r="J38" s="18">
        <f>IF(OR(D38="",I38=""),"",D38-I38)</f>
        <v/>
      </c>
    </row>
    <row r="39">
      <c r="A39" s="15" t="n">
        <v>10</v>
      </c>
      <c r="B39" s="16" t="n"/>
      <c r="C39" s="17" t="n"/>
      <c r="D39" s="17" t="n">
        <v>46.9</v>
      </c>
      <c r="E39" s="17" t="n">
        <v>35.5</v>
      </c>
      <c r="F39" s="17" t="n">
        <v>20.1</v>
      </c>
      <c r="G39" s="17" t="n">
        <v>19.75</v>
      </c>
      <c r="H39" s="17" t="n">
        <v>20.45</v>
      </c>
      <c r="I39" s="18">
        <f>IF(COUNT(F39:H39)=0,"",AVERAGE(F39:H39))</f>
        <v/>
      </c>
      <c r="J39" s="18">
        <f>IF(OR(D39="",I39=""),"",D39-I39)</f>
        <v/>
      </c>
    </row>
    <row r="40">
      <c r="A40" s="15" t="n">
        <v>11</v>
      </c>
      <c r="B40" s="16" t="n"/>
      <c r="C40" s="17" t="n"/>
      <c r="D40" s="17" t="n">
        <v>47.95</v>
      </c>
      <c r="E40" s="17" t="n">
        <v>36.65</v>
      </c>
      <c r="F40" s="17" t="n">
        <v>21.1</v>
      </c>
      <c r="G40" s="17" t="n">
        <v>20.8</v>
      </c>
      <c r="H40" s="17" t="n">
        <v>21.1</v>
      </c>
      <c r="I40" s="18">
        <f>IF(COUNT(F40:H40)=0,"",AVERAGE(F40:H40))</f>
        <v/>
      </c>
      <c r="J40" s="18">
        <f>IF(OR(D40="",I40=""),"",D40-I40)</f>
        <v/>
      </c>
    </row>
    <row r="41">
      <c r="A41" s="15" t="n">
        <v>12</v>
      </c>
      <c r="B41" s="16" t="n"/>
      <c r="C41" s="17" t="n"/>
      <c r="D41" s="17" t="n">
        <v>49</v>
      </c>
      <c r="E41" s="17" t="n">
        <v>37.9</v>
      </c>
      <c r="F41" s="17" t="n">
        <v>22.85</v>
      </c>
      <c r="G41" s="17" t="n">
        <v>22.85</v>
      </c>
      <c r="H41" s="17" t="n">
        <v>22.85</v>
      </c>
      <c r="I41" s="18">
        <f>IF(COUNT(F41:H41)=0,"",AVERAGE(F41:H41))</f>
        <v/>
      </c>
      <c r="J41" s="18">
        <f>IF(OR(D41="",I41=""),"",D41-I41)</f>
        <v/>
      </c>
    </row>
    <row r="42">
      <c r="A42" s="15" t="n">
        <v>13</v>
      </c>
      <c r="B42" s="16" t="n"/>
      <c r="C42" s="17" t="n"/>
      <c r="D42" s="17" t="n"/>
      <c r="E42" s="17" t="n"/>
      <c r="F42" s="17" t="n"/>
      <c r="G42" s="17" t="n"/>
      <c r="H42" s="17" t="n"/>
      <c r="I42" s="18">
        <f>IF(COUNT(F42:H42)=0,"",AVERAGE(F42:H42))</f>
        <v/>
      </c>
      <c r="J42" s="18">
        <f>IF(OR(D42="",I42=""),"",D42-I42)</f>
        <v/>
      </c>
    </row>
    <row r="43">
      <c r="A43" s="15" t="n">
        <v>14</v>
      </c>
      <c r="B43" s="16" t="n"/>
      <c r="C43" s="17" t="n"/>
      <c r="D43" s="17" t="n"/>
      <c r="E43" s="17" t="n"/>
      <c r="F43" s="17" t="n"/>
      <c r="G43" s="17" t="n"/>
      <c r="H43" s="17" t="n"/>
      <c r="I43" s="18">
        <f>IF(COUNT(F43:H43)=0,"",AVERAGE(F43:H43))</f>
        <v/>
      </c>
      <c r="J43" s="18">
        <f>IF(OR(D43="",I43=""),"",D43-I43)</f>
        <v/>
      </c>
    </row>
    <row r="44">
      <c r="A44" s="15" t="n">
        <v>15</v>
      </c>
      <c r="B44" s="16" t="n"/>
      <c r="C44" s="17" t="n"/>
      <c r="D44" s="17" t="n"/>
      <c r="E44" s="17" t="n"/>
      <c r="F44" s="17" t="n"/>
      <c r="G44" s="17" t="n"/>
      <c r="H44" s="17" t="n"/>
      <c r="I44" s="18">
        <f>IF(COUNT(F44:H44)=0,"",AVERAGE(F44:H44))</f>
        <v/>
      </c>
      <c r="J44" s="18">
        <f>IF(OR(D44="",I44=""),"",D44-I44)</f>
        <v/>
      </c>
    </row>
    <row r="45">
      <c r="A45" s="15" t="n">
        <v>16</v>
      </c>
      <c r="B45" s="16" t="n"/>
      <c r="C45" s="17" t="n"/>
      <c r="D45" s="17" t="n"/>
      <c r="E45" s="17" t="n"/>
      <c r="F45" s="17" t="n"/>
      <c r="G45" s="17" t="n"/>
      <c r="H45" s="17" t="n"/>
      <c r="I45" s="18">
        <f>IF(COUNT(F45:H45)=0,"",AVERAGE(F45:H45))</f>
        <v/>
      </c>
      <c r="J45" s="18">
        <f>IF(OR(D45="",I45=""),"",D45-I45)</f>
        <v/>
      </c>
    </row>
    <row r="47">
      <c r="A47" s="5" t="inlineStr">
        <is>
          <t>Observation / Result: Top oil Temperature - Rise (K)</t>
        </is>
      </c>
      <c r="B47" s="6" t="n"/>
      <c r="C47" s="6" t="n"/>
      <c r="D47" s="6" t="n"/>
      <c r="E47" s="7" t="n"/>
      <c r="F47" s="11" t="n">
        <v>26.01</v>
      </c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10" t="n"/>
    </row>
    <row r="48">
      <c r="A48" s="8" t="n"/>
      <c r="B48" s="9" t="n"/>
      <c r="C48" s="9" t="n"/>
      <c r="D48" s="9" t="n"/>
      <c r="E48" s="10" t="n"/>
      <c r="F48" s="8" t="n"/>
      <c r="G48" s="9" t="n"/>
      <c r="H48" s="9" t="n"/>
      <c r="I48" s="9" t="n"/>
      <c r="J48" s="10" t="n"/>
      <c r="K48" s="8" t="n"/>
      <c r="L48" s="9" t="n"/>
      <c r="M48" s="9" t="n"/>
      <c r="N48" s="9" t="n"/>
      <c r="O48" s="9" t="n"/>
      <c r="P48" s="10" t="n"/>
    </row>
    <row r="49">
      <c r="A49" s="19" t="inlineStr">
        <is>
          <t>Customer Signature</t>
        </is>
      </c>
      <c r="F49" s="19" t="inlineStr">
        <is>
          <t>Tested by</t>
        </is>
      </c>
      <c r="K49" s="19" t="inlineStr">
        <is>
          <t>Test Engineer</t>
        </is>
      </c>
    </row>
    <row r="51">
      <c r="A51" s="12" t="inlineStr">
        <is>
          <t>Step 2 (sheet 2 of 2)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7" t="n"/>
    </row>
    <row r="52" ht="28" customHeight="1">
      <c r="A52" s="5" t="inlineStr">
        <is>
          <t>After top oil reached steady state temperature, injection of rated current (A) on supply side for one hour</t>
        </is>
      </c>
      <c r="B52" s="6" t="n"/>
      <c r="C52" s="6" t="n"/>
      <c r="D52" s="6" t="n"/>
      <c r="E52" s="7" t="n"/>
      <c r="F52" s="11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10" t="n"/>
    </row>
    <row r="53">
      <c r="A53" s="5" t="inlineStr">
        <is>
          <t>Measurement of winding resistance on HV / LV side</t>
        </is>
      </c>
      <c r="B53" s="6" t="n"/>
      <c r="C53" s="6" t="n"/>
      <c r="D53" s="6" t="n"/>
      <c r="E53" s="7" t="n"/>
      <c r="F53" s="8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10" t="n"/>
    </row>
    <row r="54">
      <c r="A54" s="5" t="inlineStr">
        <is>
          <t>Winding material: Copper / Aluminium</t>
        </is>
      </c>
      <c r="B54" s="6" t="n"/>
      <c r="C54" s="6" t="n"/>
      <c r="D54" s="7" t="n"/>
      <c r="E54" s="8" t="n"/>
      <c r="F54" s="9" t="n"/>
      <c r="G54" s="9" t="n"/>
      <c r="H54" s="10" t="n"/>
      <c r="I54" s="5" t="inlineStr">
        <is>
          <t>Thermal Co-efficient: 225 / 235 / 234.5</t>
        </is>
      </c>
      <c r="J54" s="6" t="n"/>
      <c r="K54" s="6" t="n"/>
      <c r="L54" s="7" t="n"/>
      <c r="M54" s="11" t="n">
        <v>235</v>
      </c>
      <c r="N54" s="9" t="n"/>
      <c r="O54" s="9" t="n"/>
      <c r="P54" s="10" t="n"/>
    </row>
    <row r="55">
      <c r="A55" s="5" t="inlineStr">
        <is>
          <t>Correction Factor (if applicable)</t>
        </is>
      </c>
      <c r="B55" s="6" t="n"/>
      <c r="C55" s="6" t="n"/>
      <c r="D55" s="6" t="n"/>
      <c r="E55" s="7" t="n"/>
      <c r="F55" s="11" t="n">
        <v>0.275</v>
      </c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10" t="n"/>
    </row>
    <row r="56">
      <c r="A56" s="5" t="inlineStr">
        <is>
          <t>Time of Shutdown</t>
        </is>
      </c>
      <c r="B56" s="6" t="n"/>
      <c r="C56" s="6" t="n"/>
      <c r="D56" s="7" t="n"/>
      <c r="E56" s="8" t="n"/>
      <c r="F56" s="9" t="n"/>
      <c r="G56" s="9" t="n"/>
      <c r="H56" s="10" t="n"/>
      <c r="I56" s="5" t="inlineStr">
        <is>
          <t>Ambient at shut-down (°C)</t>
        </is>
      </c>
      <c r="J56" s="6" t="n"/>
      <c r="K56" s="6" t="n"/>
      <c r="L56" s="7" t="n"/>
      <c r="M56" s="11" t="n">
        <v>22.85</v>
      </c>
      <c r="N56" s="9" t="n"/>
      <c r="O56" s="9" t="n"/>
      <c r="P56" s="10" t="n"/>
    </row>
    <row r="57">
      <c r="A57" s="20" t="inlineStr">
        <is>
          <t>Reading</t>
        </is>
      </c>
      <c r="B57" s="21" t="inlineStr">
        <is>
          <t>1</t>
        </is>
      </c>
      <c r="C57" s="21" t="inlineStr">
        <is>
          <t>2</t>
        </is>
      </c>
      <c r="D57" s="21" t="inlineStr">
        <is>
          <t>3</t>
        </is>
      </c>
      <c r="E57" s="21" t="inlineStr">
        <is>
          <t>4</t>
        </is>
      </c>
      <c r="F57" s="21" t="inlineStr">
        <is>
          <t>5</t>
        </is>
      </c>
      <c r="G57" s="21" t="inlineStr">
        <is>
          <t>6</t>
        </is>
      </c>
      <c r="H57" s="21" t="inlineStr">
        <is>
          <t>7</t>
        </is>
      </c>
      <c r="I57" s="21" t="inlineStr">
        <is>
          <t>8</t>
        </is>
      </c>
      <c r="J57" s="21" t="inlineStr">
        <is>
          <t>9</t>
        </is>
      </c>
      <c r="K57" s="21" t="inlineStr">
        <is>
          <t>10</t>
        </is>
      </c>
    </row>
    <row r="58">
      <c r="A58" s="20" t="inlineStr">
        <is>
          <t>Time in Sec./min.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>
      <c r="A59" s="20" t="inlineStr">
        <is>
          <t>Resistance in Ω / mΩ</t>
        </is>
      </c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</row>
    <row r="61">
      <c r="A61" s="5" t="inlineStr">
        <is>
          <t>HV hot resistance at shut-down (Ω, extrapolated)</t>
        </is>
      </c>
      <c r="B61" s="6" t="n"/>
      <c r="C61" s="6" t="n"/>
      <c r="D61" s="6" t="n"/>
      <c r="E61" s="7" t="n"/>
      <c r="F61" s="11" t="n">
        <v>4.0464</v>
      </c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10" t="n"/>
    </row>
    <row r="62">
      <c r="A62" s="5" t="inlineStr">
        <is>
          <t>Correction used in the winding-rise formula (K)</t>
        </is>
      </c>
      <c r="B62" s="6" t="n"/>
      <c r="C62" s="6" t="n"/>
      <c r="D62" s="6" t="n"/>
      <c r="E62" s="7" t="n"/>
      <c r="F62" s="11" t="n">
        <v>0.475</v>
      </c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10" t="n"/>
    </row>
    <row r="63">
      <c r="A63" s="5" t="inlineStr">
        <is>
          <t>Temperature Rise of HV winding (K)</t>
        </is>
      </c>
      <c r="B63" s="6" t="n"/>
      <c r="C63" s="6" t="n"/>
      <c r="D63" s="6" t="n"/>
      <c r="E63" s="7" t="n"/>
      <c r="F63" s="11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10" t="n"/>
    </row>
    <row r="64">
      <c r="A64" s="5" t="inlineStr">
        <is>
          <t>Observations / Result &amp; Remarks (HV)</t>
        </is>
      </c>
      <c r="B64" s="6" t="n"/>
      <c r="C64" s="6" t="n"/>
      <c r="D64" s="6" t="n"/>
      <c r="E64" s="7" t="n"/>
      <c r="F64" s="8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10" t="n"/>
    </row>
    <row r="65">
      <c r="A65" s="12" t="inlineStr">
        <is>
          <t>Step 3: after the measurement of resistance on HV, rated current injected for one more hour before taking the resistance of the other winding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7" t="n"/>
    </row>
    <row r="66">
      <c r="A66" s="5" t="inlineStr">
        <is>
          <t>Correction Factor (if applicable) (LV)</t>
        </is>
      </c>
      <c r="B66" s="6" t="n"/>
      <c r="C66" s="6" t="n"/>
      <c r="D66" s="6" t="n"/>
      <c r="E66" s="7" t="n"/>
      <c r="F66" s="11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10" t="n"/>
    </row>
    <row r="67">
      <c r="A67" s="5" t="inlineStr">
        <is>
          <t>Time of Shutdown (LV)</t>
        </is>
      </c>
      <c r="B67" s="6" t="n"/>
      <c r="C67" s="6" t="n"/>
      <c r="D67" s="6" t="n"/>
      <c r="E67" s="7" t="n"/>
      <c r="F67" s="8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10" t="n"/>
    </row>
    <row r="68">
      <c r="A68" s="20" t="inlineStr">
        <is>
          <t xml:space="preserve">Reading </t>
        </is>
      </c>
      <c r="B68" s="21" t="inlineStr">
        <is>
          <t>1</t>
        </is>
      </c>
      <c r="C68" s="21" t="inlineStr">
        <is>
          <t>2</t>
        </is>
      </c>
      <c r="D68" s="21" t="inlineStr">
        <is>
          <t>3</t>
        </is>
      </c>
      <c r="E68" s="21" t="inlineStr">
        <is>
          <t>4</t>
        </is>
      </c>
      <c r="F68" s="21" t="inlineStr">
        <is>
          <t>5</t>
        </is>
      </c>
      <c r="G68" s="21" t="inlineStr">
        <is>
          <t>6</t>
        </is>
      </c>
      <c r="H68" s="21" t="inlineStr">
        <is>
          <t>7</t>
        </is>
      </c>
      <c r="I68" s="21" t="inlineStr">
        <is>
          <t>8</t>
        </is>
      </c>
      <c r="J68" s="21" t="inlineStr">
        <is>
          <t>9</t>
        </is>
      </c>
      <c r="K68" s="21" t="inlineStr">
        <is>
          <t>10</t>
        </is>
      </c>
    </row>
    <row r="69">
      <c r="A69" s="20" t="inlineStr">
        <is>
          <t xml:space="preserve">Time in Sec./min. </t>
        </is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20" t="inlineStr">
        <is>
          <t xml:space="preserve">Resistance in Ω / mΩ </t>
        </is>
      </c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</row>
    <row r="72">
      <c r="A72" s="5" t="inlineStr">
        <is>
          <t>LV hot resistance at shut-down (mΩ, extrapolated)</t>
        </is>
      </c>
      <c r="B72" s="6" t="n"/>
      <c r="C72" s="6" t="n"/>
      <c r="D72" s="6" t="n"/>
      <c r="E72" s="7" t="n"/>
      <c r="F72" s="11" t="n">
        <v>4.3425</v>
      </c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10" t="n"/>
    </row>
    <row r="73">
      <c r="A73" s="5" t="inlineStr">
        <is>
          <t>Temperature Rise of LV winding (K)</t>
        </is>
      </c>
      <c r="B73" s="6" t="n"/>
      <c r="C73" s="6" t="n"/>
      <c r="D73" s="6" t="n"/>
      <c r="E73" s="7" t="n"/>
      <c r="F73" s="11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10" t="n"/>
    </row>
    <row r="74">
      <c r="A74" s="5" t="inlineStr">
        <is>
          <t>Observations / Result &amp; Remarks (LV)</t>
        </is>
      </c>
      <c r="B74" s="6" t="n"/>
      <c r="C74" s="6" t="n"/>
      <c r="D74" s="6" t="n"/>
      <c r="E74" s="7" t="n"/>
      <c r="F74" s="8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10" t="n"/>
    </row>
    <row r="75" ht="45" customHeight="1">
      <c r="A75" s="13" t="inlineStr">
        <is>
          <t>Instruments / Equipment used</t>
        </is>
      </c>
      <c r="B75" s="13" t="inlineStr">
        <is>
          <t>Serial Number</t>
        </is>
      </c>
    </row>
    <row r="76">
      <c r="A76" s="15" t="inlineStr">
        <is>
          <t>Power Analyzer</t>
        </is>
      </c>
      <c r="B76" s="16" t="n"/>
    </row>
    <row r="77">
      <c r="A77" s="15" t="inlineStr">
        <is>
          <t>Resistance Meter</t>
        </is>
      </c>
      <c r="B77" s="16" t="n"/>
    </row>
    <row r="78">
      <c r="A78" s="15" t="inlineStr">
        <is>
          <t>Timer</t>
        </is>
      </c>
      <c r="B78" s="16" t="n"/>
    </row>
    <row r="79">
      <c r="A79" s="15" t="inlineStr">
        <is>
          <t>DTM</t>
        </is>
      </c>
      <c r="B79" s="16" t="n"/>
    </row>
    <row r="80">
      <c r="A80" s="15" t="inlineStr">
        <is>
          <t>Data Logger</t>
        </is>
      </c>
      <c r="B80" s="16" t="n"/>
    </row>
    <row r="82">
      <c r="A82" s="8" t="n"/>
      <c r="B82" s="9" t="n"/>
      <c r="C82" s="9" t="n"/>
      <c r="D82" s="9" t="n"/>
      <c r="E82" s="9" t="n"/>
      <c r="F82" s="9" t="n"/>
      <c r="G82" s="9" t="n"/>
      <c r="H82" s="10" t="n"/>
      <c r="I82" s="8" t="n"/>
      <c r="J82" s="9" t="n"/>
      <c r="K82" s="9" t="n"/>
      <c r="L82" s="9" t="n"/>
      <c r="M82" s="9" t="n"/>
      <c r="N82" s="9" t="n"/>
      <c r="O82" s="9" t="n"/>
      <c r="P82" s="10" t="n"/>
    </row>
    <row r="83">
      <c r="A83" s="19" t="inlineStr">
        <is>
          <t>Customer Signature</t>
        </is>
      </c>
      <c r="I83" s="19" t="inlineStr">
        <is>
          <t>Test Engineer</t>
        </is>
      </c>
    </row>
    <row r="85">
      <c r="A85" s="22" t="inlineStr">
        <is>
          <t>Approved BY          Document: FORMS &amp; FORMATS   SECTION : 44   PAGE NO. 1 &amp; 2 of 2   ISSUE NO. : 2   REVISION NO. : 00   DATE : 01-08-2018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15">
    <mergeCell ref="A85:P85"/>
    <mergeCell ref="F53:P53"/>
    <mergeCell ref="A48:E48"/>
    <mergeCell ref="A83:H83"/>
    <mergeCell ref="A17:P17"/>
    <mergeCell ref="F16:P16"/>
    <mergeCell ref="F25:P25"/>
    <mergeCell ref="A27:A28"/>
    <mergeCell ref="M56:P56"/>
    <mergeCell ref="F15:P15"/>
    <mergeCell ref="K48:P48"/>
    <mergeCell ref="A24:D24"/>
    <mergeCell ref="E24:H24"/>
    <mergeCell ref="A21:E21"/>
    <mergeCell ref="E8:H8"/>
    <mergeCell ref="A54:D54"/>
    <mergeCell ref="F72:P72"/>
    <mergeCell ref="C27:C28"/>
    <mergeCell ref="F23:P23"/>
    <mergeCell ref="A23:E23"/>
    <mergeCell ref="K49:P49"/>
    <mergeCell ref="M10:P10"/>
    <mergeCell ref="M54:P54"/>
    <mergeCell ref="E10:H10"/>
    <mergeCell ref="F13:P13"/>
    <mergeCell ref="A56:D56"/>
    <mergeCell ref="F52:P52"/>
    <mergeCell ref="A52:E52"/>
    <mergeCell ref="F48:J48"/>
    <mergeCell ref="A63:E63"/>
    <mergeCell ref="B27:B28"/>
    <mergeCell ref="M8:P8"/>
    <mergeCell ref="A22:D22"/>
    <mergeCell ref="A82:H82"/>
    <mergeCell ref="A49:E49"/>
    <mergeCell ref="F63:P63"/>
    <mergeCell ref="A19:D19"/>
    <mergeCell ref="M19:P19"/>
    <mergeCell ref="E22:H22"/>
    <mergeCell ref="J27:J28"/>
    <mergeCell ref="A9:D9"/>
    <mergeCell ref="E12:H12"/>
    <mergeCell ref="F27:H27"/>
    <mergeCell ref="I6:L6"/>
    <mergeCell ref="F20:P20"/>
    <mergeCell ref="A11:D11"/>
    <mergeCell ref="A55:E55"/>
    <mergeCell ref="F47:P47"/>
    <mergeCell ref="F62:P62"/>
    <mergeCell ref="I54:L54"/>
    <mergeCell ref="A14:E14"/>
    <mergeCell ref="A65:P65"/>
    <mergeCell ref="F61:P61"/>
    <mergeCell ref="I56:L56"/>
    <mergeCell ref="F49:J49"/>
    <mergeCell ref="I24:L24"/>
    <mergeCell ref="A67:E67"/>
    <mergeCell ref="F64:P64"/>
    <mergeCell ref="A8:D8"/>
    <mergeCell ref="F73:P73"/>
    <mergeCell ref="A73:E73"/>
    <mergeCell ref="A4:P4"/>
    <mergeCell ref="I10:L10"/>
    <mergeCell ref="A10:D10"/>
    <mergeCell ref="I19:L19"/>
    <mergeCell ref="F7:P7"/>
    <mergeCell ref="I9:L9"/>
    <mergeCell ref="A16:E16"/>
    <mergeCell ref="F74:P74"/>
    <mergeCell ref="A25:E25"/>
    <mergeCell ref="D27:E27"/>
    <mergeCell ref="A66:E66"/>
    <mergeCell ref="I11:L11"/>
    <mergeCell ref="A18:E18"/>
    <mergeCell ref="F18:P18"/>
    <mergeCell ref="M9:P9"/>
    <mergeCell ref="F66:P66"/>
    <mergeCell ref="A47:E47"/>
    <mergeCell ref="M11:P11"/>
    <mergeCell ref="I83:P83"/>
    <mergeCell ref="A20:E20"/>
    <mergeCell ref="A72:E72"/>
    <mergeCell ref="A12:D12"/>
    <mergeCell ref="E6:H6"/>
    <mergeCell ref="M12:P12"/>
    <mergeCell ref="A3:P3"/>
    <mergeCell ref="A13:E13"/>
    <mergeCell ref="F14:P14"/>
    <mergeCell ref="I27:I28"/>
    <mergeCell ref="I8:L8"/>
    <mergeCell ref="A15:E15"/>
    <mergeCell ref="A64:E64"/>
    <mergeCell ref="E54:H54"/>
    <mergeCell ref="M24:P24"/>
    <mergeCell ref="A61:E61"/>
    <mergeCell ref="E56:H56"/>
    <mergeCell ref="F55:P55"/>
    <mergeCell ref="A7:E7"/>
    <mergeCell ref="F21:P21"/>
    <mergeCell ref="A74:E74"/>
    <mergeCell ref="A51:P51"/>
    <mergeCell ref="A6:D6"/>
    <mergeCell ref="E19:H19"/>
    <mergeCell ref="I22:L22"/>
    <mergeCell ref="A53:E53"/>
    <mergeCell ref="F67:P67"/>
    <mergeCell ref="A62:E62"/>
    <mergeCell ref="E9:H9"/>
    <mergeCell ref="M22:P22"/>
    <mergeCell ref="I82:P82"/>
    <mergeCell ref="I12:L12"/>
    <mergeCell ref="M6:P6"/>
    <mergeCell ref="A26:J26"/>
    <mergeCell ref="E11:H11"/>
    <mergeCell ref="A2:P2"/>
  </mergeCells>
  <dataValidations count="39">
    <dataValidation sqref="E8:H8" showDropDown="0" showInputMessage="0" showErrorMessage="1" allowBlank="1" errorTitle="Check this value" error="Enter a number (Rating: kVA)" type="decimal" operator="between">
      <formula1>-1000000000.0</formula1>
      <formula2>1000000000.0</formula2>
    </dataValidation>
    <dataValidation sqref="M8:P8" showDropDown="0" showInputMessage="0" showErrorMessage="1" allowBlank="1" errorTitle="Check this value" error="Choose one of the listed values" type="list" errorStyle="stop">
      <formula1>"1,3"</formula1>
    </dataValidation>
    <dataValidation sqref="E9:H9" showDropDown="0" showInputMessage="0" showErrorMessage="1" allowBlank="1" errorTitle="Check this value" error="Enter a number (Voltage Class: HV (V))" type="decimal" operator="between">
      <formula1>-1000000000.0</formula1>
      <formula2>1000000000.0</formula2>
    </dataValidation>
    <dataValidation sqref="M9:P9" showDropDown="0" showInputMessage="0" showErrorMessage="1" allowBlank="1" errorTitle="Check this value" error="Enter a number (Rated HV Current (A))" type="decimal" operator="between">
      <formula1>-1000000000.0</formula1>
      <formula2>1000000000.0</formula2>
    </dataValidation>
    <dataValidation sqref="E10:H10" showDropDown="0" showInputMessage="0" showErrorMessage="1" allowBlank="1" errorTitle="Check this value" error="Enter a number (Voltage Class: LV (V))" type="decimal" operator="between">
      <formula1>-1000000000.0</formula1>
      <formula2>1000000000.0</formula2>
    </dataValidation>
    <dataValidation sqref="M10:P10" showDropDown="0" showInputMessage="0" showErrorMessage="1" allowBlank="1" errorTitle="Check this value" error="Enter a number (Rated LV Current (A))" type="decimal" operator="between">
      <formula1>-1000000000.0</formula1>
      <formula2>1000000000.0</formula2>
    </dataValidation>
    <dataValidation sqref="E11:H11" showDropDown="0" showInputMessage="0" showErrorMessage="1" allowBlank="1" errorTitle="Check this value" error="Choose one of the listed values" type="list" errorStyle="stop">
      <formula1>"Oil Cooled,Dry Type"</formula1>
    </dataValidation>
    <dataValidation sqref="F14:P14" showDropDown="0" showInputMessage="0" showErrorMessage="1" allowBlank="1" errorTitle="Check this value" error="Choose one of the listed values" type="list" errorStyle="stop">
      <formula1>"Single Phase Source,Three Phase Source"</formula1>
    </dataValidation>
    <dataValidation sqref="F15:P15" showDropDown="0" showInputMessage="0" showErrorMessage="1" allowBlank="1" errorTitle="Check this value" error="Choose one of the listed values (or keep what you typed if it is on the paper sheet)" type="list" errorStyle="warning">
      <formula1>"No Load Run (in case of Dry Type),Load Run (in case of Dry type),Total loss injection"</formula1>
    </dataValidation>
    <dataValidation sqref="F18:P18" showDropDown="0" showInputMessage="0" showErrorMessage="1" allowBlank="1" errorTitle="Check this value" error="Enter a number between 0 and 200 (Oil Cooled: Total loss injection (No load loss + Full load loss) at °C up to steady state)" type="decimal" operator="between">
      <formula1>0</formula1>
      <formula2>200</formula2>
    </dataValidation>
    <dataValidation sqref="E19:H19" showDropDown="0" showInputMessage="0" showErrorMessage="1" allowBlank="1" errorTitle="Check this value" error="Enter a number between 0 and 10000000.0 (NLL (W))" type="decimal" operator="between">
      <formula1>0</formula1>
      <formula2>10000000.0</formula2>
    </dataValidation>
    <dataValidation sqref="M19:P19" showDropDown="0" showInputMessage="0" showErrorMessage="1" allowBlank="1" errorTitle="Check this value" error="Enter a number between 0 and 10000000.0 (FLL (W))" type="decimal" operator="between">
      <formula1>0</formula1>
      <formula2>10000000.0</formula2>
    </dataValidation>
    <dataValidation sqref="F20:P20" showDropDown="0" showInputMessage="0" showErrorMessage="1" allowBlank="1" errorTitle="Check this value" error="Enter a number between 0 and 10000000.0 (Total Loss (W))" type="decimal" operator="between">
      <formula1>0</formula1>
      <formula2>10000000.0</formula2>
    </dataValidation>
    <dataValidation sqref="E22:H22" showDropDown="0" showInputMessage="0" showErrorMessage="1" allowBlank="1" errorTitle="Check this value" error="Enter a number (Number of Taps)" type="decimal" operator="between">
      <formula1>-1000000000.0</formula1>
      <formula2>1000000000.0</formula2>
    </dataValidation>
    <dataValidation sqref="M22:P22" showDropDown="0" showInputMessage="0" showErrorMessage="1" allowBlank="1" errorTitle="Check this value" error="Choose one of the listed values (or keep what you typed if it is on the paper sheet)" type="list" errorStyle="warning">
      <formula1>"NT,HT,LT"</formula1>
    </dataValidation>
    <dataValidation sqref="F23:P23" showDropDown="0" showInputMessage="0" showErrorMessage="1" allowBlank="1" errorTitle="Check this value" error="Enter a number between 0 and 1000000.0 (Current at Selected Tap (A))" type="decimal" operator="between">
      <formula1>0</formula1>
      <formula2>1000000.0</formula2>
    </dataValidation>
    <dataValidation sqref="E24:H24" showDropDown="0" showInputMessage="0" showErrorMessage="1" allowBlank="1" errorTitle="Check this value" error="Enter a number (HV winding Resistance (Ω or mΩ))" type="decimal" operator="between">
      <formula1>-1000000000.0</formula1>
      <formula2>1000000000.0</formula2>
    </dataValidation>
    <dataValidation sqref="M24:P24" showDropDown="0" showInputMessage="0" showErrorMessage="1" allowBlank="1" errorTitle="Check this value" error="Enter a number (LV winding Resistance (mΩ or µΩ))" type="decimal" operator="between">
      <formula1>-1000000000.0</formula1>
      <formula2>1000000000.0</formula2>
    </dataValidation>
    <dataValidation sqref="F25:P25" showDropDown="0" showInputMessage="0" showErrorMessage="1" allowBlank="1" errorTitle="Check this value" error="Enter a number between -20 and 60 (Ambient during Cold Resistance Measurement (°C))" type="decimal" operator="between">
      <formula1>-20</formula1>
      <formula2>60</formula2>
    </dataValidation>
    <dataValidation sqref="F47:P47" showDropDown="0" showInputMessage="0" showErrorMessage="1" allowBlank="1" errorTitle="Check this value" error="Enter a number between 0 and 200 (Observation / Result: Top oil Temperature - Rise (K))" type="decimal" operator="between">
      <formula1>0</formula1>
      <formula2>200</formula2>
    </dataValidation>
    <dataValidation sqref="F52:P52" showDropDown="0" showInputMessage="0" showErrorMessage="1" allowBlank="1" errorTitle="Check this value" error="Enter a number (After top oil reached steady state temperature, injection of rated current (A) on supply side for one hour)" type="decimal" operator="between">
      <formula1>-1000000000.0</formula1>
      <formula2>1000000000.0</formula2>
    </dataValidation>
    <dataValidation sqref="E54:H54" showDropDown="0" showInputMessage="0" showErrorMessage="1" allowBlank="1" errorTitle="Check this value" error="Choose one of the listed values" type="list" errorStyle="stop">
      <formula1>"Copper,Aluminium"</formula1>
    </dataValidation>
    <dataValidation sqref="M54:P54" showDropDown="0" showInputMessage="0" showErrorMessage="1" allowBlank="1" errorTitle="Check this value" error="Choose one of the listed values" type="list" errorStyle="stop">
      <formula1>"225,235,234.5"</formula1>
    </dataValidation>
    <dataValidation sqref="F55:P55" showDropDown="0" showInputMessage="0" showErrorMessage="1" allowBlank="1" errorTitle="Check this value" error="Enter a number (Correction Factor (if applicable))" type="decimal" operator="between">
      <formula1>-1000000000.0</formula1>
      <formula2>1000000000.0</formula2>
    </dataValidation>
    <dataValidation sqref="M56:P56" showDropDown="0" showInputMessage="0" showErrorMessage="1" allowBlank="1" errorTitle="Check this value" error="Enter a number between -20 and 60 (Ambient at shut-down (°C))" type="decimal" operator="between">
      <formula1>-20</formula1>
      <formula2>60</formula2>
    </dataValidation>
    <dataValidation sqref="F61:P61" showDropDown="0" showInputMessage="0" showErrorMessage="1" allowBlank="1" errorTitle="Check this value" error="Enter a number (HV hot resistance at shut-down (Ω, extrapolated))" type="decimal" operator="between">
      <formula1>-1000000000.0</formula1>
      <formula2>1000000000.0</formula2>
    </dataValidation>
    <dataValidation sqref="F62:P62" showDropDown="0" showInputMessage="0" showErrorMessage="1" allowBlank="1" errorTitle="Check this value" error="Enter a number (Correction used in the winding-rise formula (K))" type="decimal" operator="between">
      <formula1>-1000000000.0</formula1>
      <formula2>1000000000.0</formula2>
    </dataValidation>
    <dataValidation sqref="F63:P63" showDropDown="0" showInputMessage="0" showErrorMessage="1" allowBlank="1" errorTitle="Check this value" error="Enter a number between 0 and 200 (Temperature Rise of HV winding (K))" type="decimal" operator="between">
      <formula1>0</formula1>
      <formula2>200</formula2>
    </dataValidation>
    <dataValidation sqref="F66:P66" showDropDown="0" showInputMessage="0" showErrorMessage="1" allowBlank="1" errorTitle="Check this value" error="Enter a number (Correction Factor (if applicable) (LV))" type="decimal" operator="between">
      <formula1>-1000000000.0</formula1>
      <formula2>1000000000.0</formula2>
    </dataValidation>
    <dataValidation sqref="F72:P72" showDropDown="0" showInputMessage="0" showErrorMessage="1" allowBlank="1" errorTitle="Check this value" error="Enter a number (LV hot resistance at shut-down (mΩ, extrapolated))" type="decimal" operator="between">
      <formula1>-1000000000.0</formula1>
      <formula2>1000000000.0</formula2>
    </dataValidation>
    <dataValidation sqref="F73:P73" showDropDown="0" showInputMessage="0" showErrorMessage="1" allowBlank="1" errorTitle="Check this value" error="Enter a number between 0 and 200 (Temperature Rise of LV winding (K))" type="decimal" operator="between">
      <formula1>0</formula1>
      <formula2>200</formula2>
    </dataValidation>
    <dataValidation sqref="C29:C45" showDropDown="0" showInputMessage="0" showErrorMessage="1" allowBlank="1" errorTitle="Check this value" error="Enter a number (Applied Total Losses NLV / FLC (W))" type="decimal" operator="between">
      <formula1>-1000000000.0</formula1>
      <formula2>1000000000.0</formula2>
    </dataValidation>
    <dataValidation sqref="D29:D45" showDropDown="0" showInputMessage="0" showErrorMessage="1" allowBlank="1" errorTitle="Check this value" error="Enter a number (Top oil)" type="decimal" operator="between">
      <formula1>-1000000000.0</formula1>
      <formula2>1000000000.0</formula2>
    </dataValidation>
    <dataValidation sqref="E29:E45" showDropDown="0" showInputMessage="0" showErrorMessage="1" allowBlank="1" errorTitle="Check this value" error="Enter a number (Bottom oil)" type="decimal" operator="between">
      <formula1>-1000000000.0</formula1>
      <formula2>1000000000.0</formula2>
    </dataValidation>
    <dataValidation sqref="F29:F45" showDropDown="0" showInputMessage="0" showErrorMessage="1" allowBlank="1" errorTitle="Check this value" error="Enter a number (Ambient 1)" type="decimal" operator="between">
      <formula1>-1000000000.0</formula1>
      <formula2>1000000000.0</formula2>
    </dataValidation>
    <dataValidation sqref="G29:G45" showDropDown="0" showInputMessage="0" showErrorMessage="1" allowBlank="1" errorTitle="Check this value" error="Enter a number (Ambient 2)" type="decimal" operator="between">
      <formula1>-1000000000.0</formula1>
      <formula2>1000000000.0</formula2>
    </dataValidation>
    <dataValidation sqref="H29:H45" showDropDown="0" showInputMessage="0" showErrorMessage="1" allowBlank="1" errorTitle="Check this value" error="Enter a number (Ambient 3)" type="decimal" operator="between">
      <formula1>-1000000000.0</formula1>
      <formula2>1000000000.0</formula2>
    </dataValidation>
    <dataValidation sqref="B59:K59" showDropDown="0" showInputMessage="0" showErrorMessage="1" allowBlank="1" errorTitle="Check this value" error="Enter a number (Resistance in Ω / mΩ)" type="decimal" operator="between">
      <formula1>-1000000000.0</formula1>
      <formula2>1000000000.0</formula2>
    </dataValidation>
    <dataValidation sqref="B70:K70" showDropDown="0" showInputMessage="0" showErrorMessage="1" allowBlank="1" errorTitle="Check this value" error="Enter a number (Resistance in Ω / mΩ )" type="decimal" operator="between">
      <formula1>-1000000000.0</formula1>
      <formula2>1000000000.0</formula2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2026-10-10T20:28:00Z</dcterms:created>
  <dcterms:modified xsi:type="dcterms:W3CDTF">2026-10-10T20:28:00Z</dcterms:modified>
</cp:coreProperties>
</file>