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-Load Loss and Current" sheetId="1" state="visible" r:id="rId1"/>
  </sheets>
  <definedNames>
    <definedName name="NL2_SERIES">'No-Load Loss and Current'!$D$6</definedName>
    <definedName name="NL2_DATE_BT">'No-Load Loss and Current'!$J$6</definedName>
    <definedName name="NL2_SAMPLE">'No-Load Loss and Current'!$D$7</definedName>
    <definedName name="NL2_DATE_AT">'No-Load Loss and Current'!$J$7</definedName>
    <definedName name="NL2_SERIAL">'No-Load Loss and Current'!$D$8</definedName>
    <definedName name="NL2_KVA">'No-Load Loss and Current'!$J$8</definedName>
    <definedName name="NL2_CUSTOMER">'No-Load Loss and Current'!$D$9</definedName>
    <definedName name="NL2_MATERIAL">'No-Load Loss and Current'!$J$9</definedName>
    <definedName name="NL2_MANUFACTURER">'No-Load Loss and Current'!$D$10</definedName>
    <definedName name="NL2_RATED_V">'No-Load Loss and Current'!$J$10</definedName>
    <definedName name="NL2_V100">'No-Load Loss and Current'!$E$23</definedName>
    <definedName name="NL2_V1125">'No-Load Loss and Current'!$I$23</definedName>
    <definedName name="NL2_I100">'No-Load Loss and Current'!$E$24</definedName>
    <definedName name="NL2_I1125">'No-Load Loss and Current'!$I$24</definedName>
    <definedName name="NL2_PERM100">'No-Load Loss and Current'!$E$25</definedName>
    <definedName name="NL2_PERM1125">'No-Load Loss and Current'!$I$25</definedName>
    <definedName name="NL2_OBS100">'No-Load Loss and Current'!$E$26</definedName>
    <definedName name="NL2_OBS1125">'No-Load Loss and Current'!$I$26</definedName>
    <definedName name="NL2_REMARKS">'No-Load Loss and Current'!$E$27</definedName>
    <definedName name="NL2_LL50_V">'No-Load Loss and Current'!$E$29</definedName>
    <definedName name="NL2_LL50_I">'No-Load Loss and Current'!$G$29</definedName>
    <definedName name="NL2_LL50_W">'No-Load Loss and Current'!$I$29</definedName>
    <definedName name="NL2_LL50_F">'No-Load Loss and Current'!$K$29</definedName>
    <definedName name="NL2_SIG_CUSTOMER">'No-Load Loss and Current'!$A$40</definedName>
    <definedName name="NL2_SIG_ENGINEER">'No-Load Loss and Current'!$G$40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-yyyy"/>
  </numFmts>
  <fonts count="10">
    <font>
      <name val="Calibri"/>
      <family val="2"/>
      <color theme="1"/>
      <sz val="11"/>
      <scheme val="minor"/>
    </font>
    <font>
      <color rgb="00FFFFFF"/>
      <sz val="6"/>
    </font>
    <font>
      <i val="1"/>
      <color rgb="001C3D6E"/>
      <sz val="9"/>
    </font>
    <font>
      <b val="1"/>
      <sz val="12"/>
    </font>
    <font>
      <b val="1"/>
      <sz val="13"/>
      <u val="single"/>
    </font>
    <font>
      <sz val="10"/>
    </font>
    <font>
      <b val="1"/>
      <sz val="11"/>
    </font>
    <font>
      <b val="1"/>
    </font>
    <font>
      <b val="1"/>
      <sz val="10"/>
    </font>
    <font>
      <color rgb="0056667F"/>
      <sz val="8"/>
    </font>
  </fonts>
  <fills count="7">
    <fill>
      <patternFill/>
    </fill>
    <fill>
      <patternFill patternType="gray125"/>
    </fill>
    <fill>
      <patternFill patternType="solid">
        <fgColor rgb="00EAF3FB"/>
      </patternFill>
    </fill>
    <fill>
      <patternFill patternType="solid">
        <fgColor rgb="00EEF1F5"/>
      </patternFill>
    </fill>
    <fill>
      <patternFill patternType="solid">
        <fgColor rgb="00DFE7F1"/>
      </patternFill>
    </fill>
    <fill>
      <patternFill patternType="solid">
        <fgColor rgb="00FFFBEA"/>
      </patternFill>
    </fill>
    <fill>
      <patternFill patternType="solid">
        <fgColor rgb="00E3E6EA"/>
      </patternFill>
    </fill>
  </fills>
  <borders count="9">
    <border>
      <left/>
      <right/>
      <top/>
      <bottom/>
      <diagonal/>
    </border>
    <border>
      <left style="thin">
        <color rgb="009AA8BD"/>
      </left>
      <right style="thin">
        <color rgb="009AA8BD"/>
      </right>
      <top style="thin">
        <color rgb="009AA8BD"/>
      </top>
      <bottom style="thin">
        <color rgb="009AA8BD"/>
      </bottom>
    </border>
    <border>
      <left/>
      <right/>
      <top style="thin">
        <color rgb="009AA8BD"/>
      </top>
      <bottom/>
      <diagonal/>
    </border>
    <border>
      <left/>
      <right style="thin">
        <color rgb="009AA8BD"/>
      </right>
      <top style="thin">
        <color rgb="009AA8BD"/>
      </top>
      <bottom/>
      <diagonal/>
    </border>
    <border>
      <left/>
      <right/>
      <top style="thin">
        <color rgb="009AA8BD"/>
      </top>
      <bottom style="thin">
        <color rgb="009AA8BD"/>
      </bottom>
      <diagonal/>
    </border>
    <border>
      <left/>
      <right style="thin">
        <color rgb="009AA8BD"/>
      </right>
      <top style="thin">
        <color rgb="009AA8BD"/>
      </top>
      <bottom style="thin">
        <color rgb="009AA8BD"/>
      </bottom>
      <diagonal/>
    </border>
    <border>
      <left style="thin">
        <color rgb="009AA8BD"/>
      </left>
      <right/>
      <top/>
      <bottom/>
      <diagonal/>
    </border>
    <border>
      <left style="thin">
        <color rgb="009AA8BD"/>
      </left>
      <right style="thin">
        <color rgb="009AA8BD"/>
      </right>
      <top/>
      <bottom/>
      <diagonal/>
    </border>
    <border>
      <left style="thin">
        <color rgb="009AA8BD"/>
      </left>
      <right style="thin">
        <color rgb="009AA8BD"/>
      </right>
      <top/>
      <bottom style="thin">
        <color rgb="009AA8BD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49" fontId="0" fillId="5" borderId="1" applyAlignment="1" applyProtection="1" pivotButton="0" quotePrefix="0" xfId="0">
      <alignment horizontal="left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164" fontId="0" fillId="5" borderId="1" applyAlignment="1" applyProtection="1" pivotButton="0" quotePrefix="0" xfId="0">
      <alignment horizontal="left" vertical="center" wrapText="1"/>
      <protection locked="0" hidden="0"/>
    </xf>
    <xf numFmtId="0" fontId="0" fillId="5" borderId="1" applyAlignment="1" applyProtection="1" pivotButton="0" quotePrefix="0" xfId="0">
      <alignment horizontal="left" vertical="center" wrapText="1"/>
      <protection locked="0" hidden="0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7" fillId="3" borderId="1" applyAlignment="1" pivotButton="0" quotePrefix="0" xfId="0">
      <alignment horizontal="center" vertical="center"/>
    </xf>
    <xf numFmtId="0" fontId="0" fillId="5" borderId="1" applyProtection="1" pivotButton="0" quotePrefix="0" xfId="0">
      <protection locked="0" hidden="0"/>
    </xf>
    <xf numFmtId="2" fontId="0" fillId="6" borderId="1" pivotButton="0" quotePrefix="0" xfId="0"/>
    <xf numFmtId="0" fontId="8" fillId="0" borderId="0" applyAlignment="1" pivotButton="0" quotePrefix="0" xfId="0">
      <alignment horizontal="center" vertical="top"/>
    </xf>
    <xf numFmtId="0" fontId="9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43"/>
  <sheetViews>
    <sheetView showGridLines="0" workbookViewId="0">
      <selection activeCell="A1" sqref="A1"/>
    </sheetView>
  </sheetViews>
  <sheetFormatPr baseColWidth="8" defaultRowHeight="15"/>
  <cols>
    <col width="10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</cols>
  <sheetData>
    <row r="1" hidden="1">
      <c r="A1" s="1" t="inlineStr">
        <is>
          <t>Aletheia template noload v2</t>
        </is>
      </c>
    </row>
    <row r="2" ht="30" customHeight="1">
      <c r="A2" s="2" t="inlineStr">
        <is>
          <t>Fill in the yellow cells as on the paper logsheet. Grey cells are printed text or are calculated; they are locked. Choose from the list where a cell offers one; readings must be numbers and dates must be dates (dd-mm-yyyy). Leave a cell empty if the value is not on the sheet: it is recorded as NA.</t>
        </is>
      </c>
    </row>
    <row r="3" ht="18" customHeight="1">
      <c r="A3" s="3" t="inlineStr">
        <is>
          <t>SHORT CIRCUIT LABORATORY</t>
        </is>
      </c>
    </row>
    <row r="4" ht="20" customHeight="1">
      <c r="A4" s="4" t="inlineStr">
        <is>
          <t>LOG-SHEET FOR LOSS MEASUREMENT ON TRANSFORMER: No-load loss and current</t>
        </is>
      </c>
    </row>
    <row r="6">
      <c r="A6" s="5" t="inlineStr">
        <is>
          <t>Test Series No</t>
        </is>
      </c>
      <c r="B6" s="6" t="n"/>
      <c r="C6" s="7" t="n"/>
      <c r="D6" s="8" t="inlineStr">
        <is>
          <t>25T1656</t>
        </is>
      </c>
      <c r="E6" s="9" t="n"/>
      <c r="F6" s="10" t="n"/>
      <c r="G6" s="5" t="inlineStr">
        <is>
          <t>Before STC test : Date</t>
        </is>
      </c>
      <c r="H6" s="6" t="n"/>
      <c r="I6" s="7" t="n"/>
      <c r="J6" s="11" t="n"/>
      <c r="K6" s="9" t="n"/>
      <c r="L6" s="10" t="n"/>
    </row>
    <row r="7">
      <c r="A7" s="5" t="inlineStr">
        <is>
          <t>Sample no</t>
        </is>
      </c>
      <c r="B7" s="6" t="n"/>
      <c r="C7" s="7" t="n"/>
      <c r="D7" s="8" t="inlineStr">
        <is>
          <t>HVD25S0847</t>
        </is>
      </c>
      <c r="E7" s="9" t="n"/>
      <c r="F7" s="10" t="n"/>
      <c r="G7" s="5" t="inlineStr">
        <is>
          <t>After STC test : Date</t>
        </is>
      </c>
      <c r="H7" s="6" t="n"/>
      <c r="I7" s="7" t="n"/>
      <c r="J7" s="11" t="n"/>
      <c r="K7" s="9" t="n"/>
      <c r="L7" s="10" t="n"/>
    </row>
    <row r="8">
      <c r="A8" s="5" t="inlineStr">
        <is>
          <t>Serial no.</t>
        </is>
      </c>
      <c r="B8" s="6" t="n"/>
      <c r="C8" s="7" t="n"/>
      <c r="D8" s="8" t="n"/>
      <c r="E8" s="9" t="n"/>
      <c r="F8" s="10" t="n"/>
      <c r="G8" s="5" t="inlineStr">
        <is>
          <t>Rated kVA</t>
        </is>
      </c>
      <c r="H8" s="6" t="n"/>
      <c r="I8" s="7" t="n"/>
      <c r="J8" s="12" t="n"/>
      <c r="K8" s="9" t="n"/>
      <c r="L8" s="10" t="n"/>
    </row>
    <row r="9">
      <c r="A9" s="5" t="inlineStr">
        <is>
          <t>Customer</t>
        </is>
      </c>
      <c r="B9" s="6" t="n"/>
      <c r="C9" s="7" t="n"/>
      <c r="D9" s="8" t="n"/>
      <c r="E9" s="9" t="n"/>
      <c r="F9" s="10" t="n"/>
      <c r="G9" s="5" t="inlineStr">
        <is>
          <t>Winding Material: Copper / Aluminium</t>
        </is>
      </c>
      <c r="H9" s="6" t="n"/>
      <c r="I9" s="7" t="n"/>
      <c r="J9" s="8" t="n"/>
      <c r="K9" s="9" t="n"/>
      <c r="L9" s="10" t="n"/>
    </row>
    <row r="10">
      <c r="A10" s="5" t="inlineStr">
        <is>
          <t>Manufacturer</t>
        </is>
      </c>
      <c r="B10" s="6" t="n"/>
      <c r="C10" s="7" t="n"/>
      <c r="D10" s="8" t="n"/>
      <c r="E10" s="9" t="n"/>
      <c r="F10" s="10" t="n"/>
      <c r="G10" s="5" t="inlineStr">
        <is>
          <t>Rated voltage (HV / LV)</t>
        </is>
      </c>
      <c r="H10" s="6" t="n"/>
      <c r="I10" s="7" t="n"/>
      <c r="J10" s="8" t="n"/>
      <c r="K10" s="9" t="n"/>
      <c r="L10" s="10" t="n"/>
    </row>
    <row r="12">
      <c r="A12" s="13" t="inlineStr">
        <is>
          <t>Measurement of No-load loss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</row>
    <row r="13">
      <c r="A13" s="14" t="inlineStr">
        <is>
          <t>Level</t>
        </is>
      </c>
      <c r="B13" s="14" t="inlineStr">
        <is>
          <t>Applied voltage (V)</t>
        </is>
      </c>
      <c r="C13" s="6" t="n"/>
      <c r="D13" s="7" t="n"/>
      <c r="E13" s="14" t="inlineStr">
        <is>
          <t>Avg V</t>
        </is>
      </c>
      <c r="F13" s="14" t="inlineStr">
        <is>
          <t>No-load current (A)</t>
        </is>
      </c>
      <c r="G13" s="6" t="n"/>
      <c r="H13" s="7" t="n"/>
      <c r="I13" s="14" t="inlineStr">
        <is>
          <t>Avg I</t>
        </is>
      </c>
      <c r="J13" s="14" t="inlineStr">
        <is>
          <t>Watts (W)</t>
        </is>
      </c>
      <c r="K13" s="6" t="n"/>
      <c r="L13" s="7" t="n"/>
      <c r="M13" s="14" t="inlineStr">
        <is>
          <t>Total W</t>
        </is>
      </c>
      <c r="N13" s="14" t="inlineStr">
        <is>
          <t>Freq -Hz</t>
        </is>
      </c>
      <c r="O13" s="14" t="inlineStr">
        <is>
          <t>Vrr</t>
        </is>
      </c>
    </row>
    <row r="14">
      <c r="A14" s="15" t="n"/>
      <c r="B14" s="14" t="inlineStr">
        <is>
          <t>V12</t>
        </is>
      </c>
      <c r="C14" s="14" t="inlineStr">
        <is>
          <t>V23</t>
        </is>
      </c>
      <c r="D14" s="14" t="inlineStr">
        <is>
          <t>V31</t>
        </is>
      </c>
      <c r="E14" s="15" t="n"/>
      <c r="F14" s="14" t="inlineStr">
        <is>
          <t>I1</t>
        </is>
      </c>
      <c r="G14" s="14" t="inlineStr">
        <is>
          <t>I2</t>
        </is>
      </c>
      <c r="H14" s="14" t="inlineStr">
        <is>
          <t>I3</t>
        </is>
      </c>
      <c r="I14" s="15" t="n"/>
      <c r="J14" s="14" t="inlineStr">
        <is>
          <t>W1</t>
        </is>
      </c>
      <c r="K14" s="14" t="inlineStr">
        <is>
          <t>W2</t>
        </is>
      </c>
      <c r="L14" s="14" t="inlineStr">
        <is>
          <t>W3</t>
        </is>
      </c>
      <c r="M14" s="15" t="n"/>
      <c r="N14" s="15" t="n"/>
      <c r="O14" s="15" t="n"/>
    </row>
    <row r="15">
      <c r="A15" s="16" t="inlineStr">
        <is>
          <t>BT</t>
        </is>
      </c>
      <c r="B15" s="17" t="n">
        <v>251.133</v>
      </c>
      <c r="C15" s="17" t="n">
        <v>252.814</v>
      </c>
      <c r="D15" s="17" t="n">
        <v>246.166</v>
      </c>
      <c r="E15" s="18" t="n">
        <v>250.03</v>
      </c>
      <c r="F15" s="17" t="n">
        <v>1.907</v>
      </c>
      <c r="G15" s="17" t="n">
        <v>1.445</v>
      </c>
      <c r="H15" s="17" t="n">
        <v>1.714</v>
      </c>
      <c r="I15" s="18" t="n">
        <v>1.689</v>
      </c>
      <c r="J15" s="17" t="n">
        <v>109.18</v>
      </c>
      <c r="K15" s="17" t="n">
        <v>84.52</v>
      </c>
      <c r="L15" s="17" t="n">
        <v>189.22</v>
      </c>
      <c r="M15" s="18" t="n">
        <v>382.92</v>
      </c>
      <c r="N15" s="17" t="n">
        <v>49.95</v>
      </c>
      <c r="O15" s="17" t="n">
        <v>383.18</v>
      </c>
    </row>
    <row r="16">
      <c r="A16" s="16" t="inlineStr">
        <is>
          <t>AT</t>
        </is>
      </c>
      <c r="B16" s="17" t="n">
        <v>250.458</v>
      </c>
      <c r="C16" s="17" t="n">
        <v>252.724</v>
      </c>
      <c r="D16" s="17" t="n">
        <v>246.849</v>
      </c>
      <c r="E16" s="18" t="n">
        <v>250.01</v>
      </c>
      <c r="F16" s="17" t="n">
        <v>1.893</v>
      </c>
      <c r="G16" s="17" t="n">
        <v>1.438</v>
      </c>
      <c r="H16" s="17" t="n">
        <v>1.73</v>
      </c>
      <c r="I16" s="18" t="n">
        <v>1.687</v>
      </c>
      <c r="J16" s="17" t="n">
        <v>104.53</v>
      </c>
      <c r="K16" s="17" t="n">
        <v>88.28</v>
      </c>
      <c r="L16" s="17" t="n">
        <v>190.49</v>
      </c>
      <c r="M16" s="18" t="n">
        <v>383.3</v>
      </c>
      <c r="N16" s="17" t="n">
        <v>49.99</v>
      </c>
      <c r="O16" s="17" t="n">
        <v>383.26</v>
      </c>
    </row>
    <row r="17">
      <c r="A17" s="16" t="inlineStr">
        <is>
          <t>90%</t>
        </is>
      </c>
      <c r="B17" s="17" t="n"/>
      <c r="C17" s="17" t="n"/>
      <c r="D17" s="17" t="n"/>
      <c r="E17" s="18">
        <f>IF(COUNT(B17:D17)=0,"",AVERAGE(B17:D17))</f>
        <v/>
      </c>
      <c r="F17" s="17" t="n"/>
      <c r="G17" s="17" t="n"/>
      <c r="H17" s="17" t="n"/>
      <c r="I17" s="18">
        <f>IF(COUNT(F17:H17)=0,"",AVERAGE(F17:H17))</f>
        <v/>
      </c>
      <c r="J17" s="17" t="n"/>
      <c r="K17" s="17" t="n"/>
      <c r="L17" s="17" t="n"/>
      <c r="M17" s="18">
        <f>IF(COUNT(J17:L17)=0,"",SUM(J17:L17))</f>
        <v/>
      </c>
      <c r="N17" s="17" t="n"/>
      <c r="O17" s="17" t="n"/>
    </row>
    <row r="18">
      <c r="A18" s="16" t="inlineStr">
        <is>
          <t>110%</t>
        </is>
      </c>
      <c r="B18" s="17" t="n"/>
      <c r="C18" s="17" t="n"/>
      <c r="D18" s="17" t="n"/>
      <c r="E18" s="18">
        <f>IF(COUNT(B18:D18)=0,"",AVERAGE(B18:D18))</f>
        <v/>
      </c>
      <c r="F18" s="17" t="n"/>
      <c r="G18" s="17" t="n"/>
      <c r="H18" s="17" t="n"/>
      <c r="I18" s="18">
        <f>IF(COUNT(F18:H18)=0,"",AVERAGE(F18:H18))</f>
        <v/>
      </c>
      <c r="J18" s="17" t="n"/>
      <c r="K18" s="17" t="n"/>
      <c r="L18" s="17" t="n"/>
      <c r="M18" s="18">
        <f>IF(COUNT(J18:L18)=0,"",SUM(J18:L18))</f>
        <v/>
      </c>
      <c r="N18" s="17" t="n"/>
      <c r="O18" s="17" t="n"/>
    </row>
    <row r="19">
      <c r="A19" s="16" t="inlineStr">
        <is>
          <t>112.5%</t>
        </is>
      </c>
      <c r="B19" s="17" t="n">
        <v>266.596</v>
      </c>
      <c r="C19" s="17" t="n">
        <v>284.378</v>
      </c>
      <c r="D19" s="17" t="n">
        <v>293.094</v>
      </c>
      <c r="E19" s="18" t="n">
        <v>281.356</v>
      </c>
      <c r="F19" s="17" t="n">
        <v>4.681</v>
      </c>
      <c r="G19" s="17" t="n">
        <v>3.937</v>
      </c>
      <c r="H19" s="17" t="n">
        <v>4.165</v>
      </c>
      <c r="I19" s="18" t="n">
        <v>4.261</v>
      </c>
      <c r="J19" s="17" t="n">
        <v>98.86</v>
      </c>
      <c r="K19" s="17" t="n">
        <v>165.57</v>
      </c>
      <c r="L19" s="17" t="n">
        <v>288.72</v>
      </c>
      <c r="M19" s="18" t="n">
        <v>553.73</v>
      </c>
      <c r="N19" s="17" t="n">
        <v>49.94</v>
      </c>
      <c r="O19" s="17" t="n">
        <v>548.36</v>
      </c>
    </row>
    <row r="21">
      <c r="A21" s="13" t="inlineStr">
        <is>
          <t>No Load Current at 112.5 % Rated Voltage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7" t="n"/>
    </row>
    <row r="22">
      <c r="A22" s="14" t="inlineStr"/>
      <c r="B22" s="6" t="n"/>
      <c r="C22" s="6" t="n"/>
      <c r="D22" s="7" t="n"/>
      <c r="E22" s="14" t="inlineStr">
        <is>
          <t>At 100 % voltage</t>
        </is>
      </c>
      <c r="F22" s="6" t="n"/>
      <c r="G22" s="6" t="n"/>
      <c r="H22" s="7" t="n"/>
      <c r="I22" s="14" t="inlineStr">
        <is>
          <t>At 112.5 % voltage</t>
        </is>
      </c>
      <c r="J22" s="6" t="n"/>
      <c r="K22" s="6" t="n"/>
      <c r="L22" s="7" t="n"/>
    </row>
    <row r="23">
      <c r="A23" s="5" t="inlineStr">
        <is>
          <t>Voltage (V)</t>
        </is>
      </c>
      <c r="B23" s="6" t="n"/>
      <c r="C23" s="6" t="n"/>
      <c r="D23" s="7" t="n"/>
      <c r="E23" s="12" t="n">
        <v>433.06</v>
      </c>
      <c r="F23" s="9" t="n"/>
      <c r="G23" s="9" t="n"/>
      <c r="H23" s="10" t="n"/>
      <c r="I23" s="12" t="n">
        <v>487.32</v>
      </c>
      <c r="J23" s="9" t="n"/>
      <c r="K23" s="9" t="n"/>
      <c r="L23" s="10" t="n"/>
    </row>
    <row r="24">
      <c r="A24" s="5" t="inlineStr">
        <is>
          <t>Measured Current (A)</t>
        </is>
      </c>
      <c r="B24" s="6" t="n"/>
      <c r="C24" s="6" t="n"/>
      <c r="D24" s="7" t="n"/>
      <c r="E24" s="8" t="n"/>
      <c r="F24" s="9" t="n"/>
      <c r="G24" s="9" t="n"/>
      <c r="H24" s="10" t="n"/>
      <c r="I24" s="8" t="n"/>
      <c r="J24" s="9" t="n"/>
      <c r="K24" s="9" t="n"/>
      <c r="L24" s="10" t="n"/>
    </row>
    <row r="25">
      <c r="A25" s="5" t="inlineStr">
        <is>
          <t>Permissible Value &amp; percentage</t>
        </is>
      </c>
      <c r="B25" s="6" t="n"/>
      <c r="C25" s="6" t="n"/>
      <c r="D25" s="7" t="n"/>
      <c r="E25" s="8" t="n"/>
      <c r="F25" s="9" t="n"/>
      <c r="G25" s="9" t="n"/>
      <c r="H25" s="10" t="n"/>
      <c r="I25" s="8" t="n"/>
      <c r="J25" s="9" t="n"/>
      <c r="K25" s="9" t="n"/>
      <c r="L25" s="10" t="n"/>
    </row>
    <row r="26">
      <c r="A26" s="5" t="inlineStr">
        <is>
          <t>Observation</t>
        </is>
      </c>
      <c r="B26" s="6" t="n"/>
      <c r="C26" s="6" t="n"/>
      <c r="D26" s="7" t="n"/>
      <c r="E26" s="8" t="n"/>
      <c r="F26" s="9" t="n"/>
      <c r="G26" s="9" t="n"/>
      <c r="H26" s="10" t="n"/>
      <c r="I26" s="8" t="n"/>
      <c r="J26" s="9" t="n"/>
      <c r="K26" s="9" t="n"/>
      <c r="L26" s="10" t="n"/>
    </row>
    <row r="27">
      <c r="A27" s="5" t="inlineStr">
        <is>
          <t>Remarks</t>
        </is>
      </c>
      <c r="B27" s="6" t="n"/>
      <c r="C27" s="6" t="n"/>
      <c r="D27" s="7" t="n"/>
      <c r="E27" s="8" t="inlineStr">
        <is>
          <t>Within limit at 100% and 112.5%</t>
        </is>
      </c>
      <c r="F27" s="9" t="n"/>
      <c r="G27" s="9" t="n"/>
      <c r="H27" s="9" t="n"/>
      <c r="I27" s="9" t="n"/>
      <c r="J27" s="9" t="n"/>
      <c r="K27" s="9" t="n"/>
      <c r="L27" s="10" t="n"/>
    </row>
    <row r="28">
      <c r="A28" s="14" t="inlineStr">
        <is>
          <t>Measurement of 50% Load loss</t>
        </is>
      </c>
      <c r="B28" s="6" t="n"/>
      <c r="C28" s="6" t="n"/>
      <c r="D28" s="7" t="n"/>
      <c r="E28" s="14" t="inlineStr">
        <is>
          <t>Voltage (V)</t>
        </is>
      </c>
      <c r="F28" s="7" t="n"/>
      <c r="G28" s="14" t="inlineStr">
        <is>
          <t>Current (A)</t>
        </is>
      </c>
      <c r="H28" s="7" t="n"/>
      <c r="I28" s="14" t="inlineStr">
        <is>
          <t>Watts (W)</t>
        </is>
      </c>
      <c r="J28" s="7" t="n"/>
      <c r="K28" s="14" t="inlineStr">
        <is>
          <t>Freq. Hz</t>
        </is>
      </c>
      <c r="L28" s="7" t="n"/>
    </row>
    <row r="29">
      <c r="A29" s="5" t="inlineStr">
        <is>
          <t>50% load</t>
        </is>
      </c>
      <c r="B29" s="6" t="n"/>
      <c r="C29" s="6" t="n"/>
      <c r="D29" s="7" t="n"/>
      <c r="E29" s="12" t="n"/>
      <c r="F29" s="10" t="n"/>
      <c r="G29" s="12" t="n"/>
      <c r="H29" s="10" t="n"/>
      <c r="I29" s="12" t="n"/>
      <c r="J29" s="10" t="n"/>
      <c r="K29" s="12" t="n"/>
      <c r="L29" s="10" t="n"/>
    </row>
    <row r="30">
      <c r="A30" s="13" t="inlineStr">
        <is>
          <t>Measurement of Load loss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7" t="n"/>
    </row>
    <row r="31">
      <c r="A31" s="14" t="inlineStr">
        <is>
          <t>Tap pos.</t>
        </is>
      </c>
      <c r="B31" s="14" t="inlineStr">
        <is>
          <t>Voltage (V)</t>
        </is>
      </c>
      <c r="C31" s="6" t="n"/>
      <c r="D31" s="7" t="n"/>
      <c r="E31" s="14" t="inlineStr">
        <is>
          <t xml:space="preserve">Avg V </t>
        </is>
      </c>
      <c r="F31" s="14" t="inlineStr">
        <is>
          <t>Current (A)</t>
        </is>
      </c>
      <c r="G31" s="6" t="n"/>
      <c r="H31" s="7" t="n"/>
      <c r="I31" s="14" t="inlineStr">
        <is>
          <t xml:space="preserve">Avg I </t>
        </is>
      </c>
      <c r="J31" s="14" t="inlineStr">
        <is>
          <t>Watts (W)</t>
        </is>
      </c>
      <c r="K31" s="6" t="n"/>
      <c r="L31" s="7" t="n"/>
      <c r="M31" s="14" t="inlineStr">
        <is>
          <t xml:space="preserve">Avg W </t>
        </is>
      </c>
      <c r="N31" s="14" t="inlineStr">
        <is>
          <t>Hz</t>
        </is>
      </c>
    </row>
    <row r="32">
      <c r="A32" s="15" t="n"/>
      <c r="B32" s="14" t="inlineStr">
        <is>
          <t xml:space="preserve">V12 </t>
        </is>
      </c>
      <c r="C32" s="14" t="inlineStr">
        <is>
          <t xml:space="preserve">V23 </t>
        </is>
      </c>
      <c r="D32" s="14" t="inlineStr">
        <is>
          <t xml:space="preserve">V31 </t>
        </is>
      </c>
      <c r="E32" s="15" t="n"/>
      <c r="F32" s="14" t="inlineStr">
        <is>
          <t xml:space="preserve">I1 </t>
        </is>
      </c>
      <c r="G32" s="14" t="inlineStr">
        <is>
          <t xml:space="preserve">I2 </t>
        </is>
      </c>
      <c r="H32" s="14" t="inlineStr">
        <is>
          <t xml:space="preserve">I3 </t>
        </is>
      </c>
      <c r="I32" s="15" t="n"/>
      <c r="J32" s="14" t="inlineStr">
        <is>
          <t xml:space="preserve">W1 </t>
        </is>
      </c>
      <c r="K32" s="14" t="inlineStr">
        <is>
          <t xml:space="preserve">W2 </t>
        </is>
      </c>
      <c r="L32" s="14" t="inlineStr">
        <is>
          <t xml:space="preserve">W3 </t>
        </is>
      </c>
      <c r="M32" s="15" t="n"/>
      <c r="N32" s="15" t="n"/>
    </row>
    <row r="33">
      <c r="A33" s="16" t="inlineStr">
        <is>
          <t>Nor. BT</t>
        </is>
      </c>
      <c r="B33" s="17" t="n"/>
      <c r="C33" s="17" t="n"/>
      <c r="D33" s="17" t="n"/>
      <c r="E33" s="18">
        <f>IF(COUNT(B33:D33)=0,"",AVERAGE(B33:D33))</f>
        <v/>
      </c>
      <c r="F33" s="17" t="n"/>
      <c r="G33" s="17" t="n"/>
      <c r="H33" s="17" t="n"/>
      <c r="I33" s="18">
        <f>IF(COUNT(F33:H33)=0,"",AVERAGE(F33:H33))</f>
        <v/>
      </c>
      <c r="J33" s="17" t="n"/>
      <c r="K33" s="17" t="n"/>
      <c r="L33" s="17" t="n"/>
      <c r="M33" s="18">
        <f>IF(COUNT(J33:L33)=0,"",AVERAGE(J33:L33))</f>
        <v/>
      </c>
      <c r="N33" s="17" t="n"/>
    </row>
    <row r="34">
      <c r="A34" s="16" t="inlineStr">
        <is>
          <t>Nor. AT</t>
        </is>
      </c>
      <c r="B34" s="17" t="n"/>
      <c r="C34" s="17" t="n"/>
      <c r="D34" s="17" t="n"/>
      <c r="E34" s="18">
        <f>IF(COUNT(B34:D34)=0,"",AVERAGE(B34:D34))</f>
        <v/>
      </c>
      <c r="F34" s="17" t="n"/>
      <c r="G34" s="17" t="n"/>
      <c r="H34" s="17" t="n"/>
      <c r="I34" s="18">
        <f>IF(COUNT(F34:H34)=0,"",AVERAGE(F34:H34))</f>
        <v/>
      </c>
      <c r="J34" s="17" t="n"/>
      <c r="K34" s="17" t="n"/>
      <c r="L34" s="17" t="n"/>
      <c r="M34" s="18">
        <f>IF(COUNT(J34:L34)=0,"",AVERAGE(J34:L34))</f>
        <v/>
      </c>
      <c r="N34" s="17" t="n"/>
    </row>
    <row r="35">
      <c r="A35" s="16" t="inlineStr">
        <is>
          <t>Hig. BT</t>
        </is>
      </c>
      <c r="B35" s="17" t="n"/>
      <c r="C35" s="17" t="n"/>
      <c r="D35" s="17" t="n"/>
      <c r="E35" s="18">
        <f>IF(COUNT(B35:D35)=0,"",AVERAGE(B35:D35))</f>
        <v/>
      </c>
      <c r="F35" s="17" t="n"/>
      <c r="G35" s="17" t="n"/>
      <c r="H35" s="17" t="n"/>
      <c r="I35" s="18">
        <f>IF(COUNT(F35:H35)=0,"",AVERAGE(F35:H35))</f>
        <v/>
      </c>
      <c r="J35" s="17" t="n"/>
      <c r="K35" s="17" t="n"/>
      <c r="L35" s="17" t="n"/>
      <c r="M35" s="18">
        <f>IF(COUNT(J35:L35)=0,"",AVERAGE(J35:L35))</f>
        <v/>
      </c>
      <c r="N35" s="17" t="n"/>
    </row>
    <row r="36">
      <c r="A36" s="16" t="inlineStr">
        <is>
          <t>Hig. AT</t>
        </is>
      </c>
      <c r="B36" s="17" t="n"/>
      <c r="C36" s="17" t="n"/>
      <c r="D36" s="17" t="n"/>
      <c r="E36" s="18">
        <f>IF(COUNT(B36:D36)=0,"",AVERAGE(B36:D36))</f>
        <v/>
      </c>
      <c r="F36" s="17" t="n"/>
      <c r="G36" s="17" t="n"/>
      <c r="H36" s="17" t="n"/>
      <c r="I36" s="18">
        <f>IF(COUNT(F36:H36)=0,"",AVERAGE(F36:H36))</f>
        <v/>
      </c>
      <c r="J36" s="17" t="n"/>
      <c r="K36" s="17" t="n"/>
      <c r="L36" s="17" t="n"/>
      <c r="M36" s="18">
        <f>IF(COUNT(J36:L36)=0,"",AVERAGE(J36:L36))</f>
        <v/>
      </c>
      <c r="N36" s="17" t="n"/>
    </row>
    <row r="37">
      <c r="A37" s="16" t="inlineStr">
        <is>
          <t>Low. BT</t>
        </is>
      </c>
      <c r="B37" s="17" t="n"/>
      <c r="C37" s="17" t="n"/>
      <c r="D37" s="17" t="n"/>
      <c r="E37" s="18">
        <f>IF(COUNT(B37:D37)=0,"",AVERAGE(B37:D37))</f>
        <v/>
      </c>
      <c r="F37" s="17" t="n"/>
      <c r="G37" s="17" t="n"/>
      <c r="H37" s="17" t="n"/>
      <c r="I37" s="18">
        <f>IF(COUNT(F37:H37)=0,"",AVERAGE(F37:H37))</f>
        <v/>
      </c>
      <c r="J37" s="17" t="n"/>
      <c r="K37" s="17" t="n"/>
      <c r="L37" s="17" t="n"/>
      <c r="M37" s="18">
        <f>IF(COUNT(J37:L37)=0,"",AVERAGE(J37:L37))</f>
        <v/>
      </c>
      <c r="N37" s="17" t="n"/>
    </row>
    <row r="38">
      <c r="A38" s="16" t="inlineStr">
        <is>
          <t>Low. AT</t>
        </is>
      </c>
      <c r="B38" s="17" t="n"/>
      <c r="C38" s="17" t="n"/>
      <c r="D38" s="17" t="n"/>
      <c r="E38" s="18">
        <f>IF(COUNT(B38:D38)=0,"",AVERAGE(B38:D38))</f>
        <v/>
      </c>
      <c r="F38" s="17" t="n"/>
      <c r="G38" s="17" t="n"/>
      <c r="H38" s="17" t="n"/>
      <c r="I38" s="18">
        <f>IF(COUNT(F38:H38)=0,"",AVERAGE(F38:H38))</f>
        <v/>
      </c>
      <c r="J38" s="17" t="n"/>
      <c r="K38" s="17" t="n"/>
      <c r="L38" s="17" t="n"/>
      <c r="M38" s="18">
        <f>IF(COUNT(J38:L38)=0,"",AVERAGE(J38:L38))</f>
        <v/>
      </c>
      <c r="N38" s="17" t="n"/>
    </row>
    <row r="40">
      <c r="A40" s="8" t="n"/>
      <c r="B40" s="9" t="n"/>
      <c r="C40" s="9" t="n"/>
      <c r="D40" s="9" t="n"/>
      <c r="E40" s="9" t="n"/>
      <c r="F40" s="10" t="n"/>
      <c r="G40" s="8" t="n"/>
      <c r="H40" s="9" t="n"/>
      <c r="I40" s="9" t="n"/>
      <c r="J40" s="9" t="n"/>
      <c r="K40" s="9" t="n"/>
      <c r="L40" s="10" t="n"/>
    </row>
    <row r="41">
      <c r="A41" s="19" t="inlineStr">
        <is>
          <t>Customer's Signature</t>
        </is>
      </c>
      <c r="G41" s="19" t="inlineStr">
        <is>
          <t>Test Engineer</t>
        </is>
      </c>
    </row>
    <row r="43">
      <c r="A43" s="20" t="inlineStr">
        <is>
          <t>APPROVED BY:          Document: FORMS &amp; FORMATS   SECTION : 56   PAGE NO. 1 OF 1   ISSUE NO. 01   REVISION NO.: 00   DATE : 01.06.2019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75">
    <mergeCell ref="A41:F41"/>
    <mergeCell ref="A23:D23"/>
    <mergeCell ref="J6:L6"/>
    <mergeCell ref="E26:H26"/>
    <mergeCell ref="G10:I10"/>
    <mergeCell ref="G6:I6"/>
    <mergeCell ref="A22:D22"/>
    <mergeCell ref="E13:E14"/>
    <mergeCell ref="A30:N30"/>
    <mergeCell ref="A29:D29"/>
    <mergeCell ref="B13:D13"/>
    <mergeCell ref="E25:H25"/>
    <mergeCell ref="D7:F7"/>
    <mergeCell ref="A3:L3"/>
    <mergeCell ref="A21:L21"/>
    <mergeCell ref="A28:D28"/>
    <mergeCell ref="E22:H22"/>
    <mergeCell ref="J7:L7"/>
    <mergeCell ref="A12:O12"/>
    <mergeCell ref="A2:L2"/>
    <mergeCell ref="K29:L29"/>
    <mergeCell ref="E29:F29"/>
    <mergeCell ref="F13:H13"/>
    <mergeCell ref="M13:M14"/>
    <mergeCell ref="F31:H31"/>
    <mergeCell ref="A8:C8"/>
    <mergeCell ref="M31:M32"/>
    <mergeCell ref="J31:L31"/>
    <mergeCell ref="E28:F28"/>
    <mergeCell ref="D9:F9"/>
    <mergeCell ref="G28:H28"/>
    <mergeCell ref="A24:D24"/>
    <mergeCell ref="I28:J28"/>
    <mergeCell ref="E31:E32"/>
    <mergeCell ref="D8:F8"/>
    <mergeCell ref="E24:H24"/>
    <mergeCell ref="A4:L4"/>
    <mergeCell ref="A10:C10"/>
    <mergeCell ref="E23:H23"/>
    <mergeCell ref="G41:L41"/>
    <mergeCell ref="I26:L26"/>
    <mergeCell ref="A43:L43"/>
    <mergeCell ref="N13:N14"/>
    <mergeCell ref="A13:A14"/>
    <mergeCell ref="N31:N32"/>
    <mergeCell ref="G40:L40"/>
    <mergeCell ref="I13:I14"/>
    <mergeCell ref="A9:C9"/>
    <mergeCell ref="G9:I9"/>
    <mergeCell ref="A25:D25"/>
    <mergeCell ref="J8:L8"/>
    <mergeCell ref="A40:F40"/>
    <mergeCell ref="I25:L25"/>
    <mergeCell ref="E27:L27"/>
    <mergeCell ref="D10:F10"/>
    <mergeCell ref="G29:H29"/>
    <mergeCell ref="I22:L22"/>
    <mergeCell ref="I29:J29"/>
    <mergeCell ref="A27:D27"/>
    <mergeCell ref="J10:L10"/>
    <mergeCell ref="O13:O14"/>
    <mergeCell ref="B31:D31"/>
    <mergeCell ref="I31:I32"/>
    <mergeCell ref="J13:L13"/>
    <mergeCell ref="A26:D26"/>
    <mergeCell ref="A6:C6"/>
    <mergeCell ref="K28:L28"/>
    <mergeCell ref="D6:F6"/>
    <mergeCell ref="G8:I8"/>
    <mergeCell ref="A31:A32"/>
    <mergeCell ref="I24:L24"/>
    <mergeCell ref="J9:L9"/>
    <mergeCell ref="A7:C7"/>
    <mergeCell ref="G7:I7"/>
    <mergeCell ref="I23:L23"/>
  </mergeCells>
  <dataValidations count="31">
    <dataValidation sqref="J6:L6" showDropDown="0" showInputMessage="0" showErrorMessage="1" allowBlank="1" errorTitle="Check this value" error="Enter a date (dd-mm-yyyy)" type="date" operator="greaterThanOrEqual">
      <formula1>36526</formula1>
    </dataValidation>
    <dataValidation sqref="J7:L7" showDropDown="0" showInputMessage="0" showErrorMessage="1" allowBlank="1" errorTitle="Check this value" error="Enter a date (dd-mm-yyyy)" type="date" operator="greaterThanOrEqual">
      <formula1>36526</formula1>
    </dataValidation>
    <dataValidation sqref="J8:L8" showDropDown="0" showInputMessage="0" showErrorMessage="1" allowBlank="1" errorTitle="Check this value" error="Enter a number (Rated kVA)" type="decimal" operator="between">
      <formula1>-1000000000.0</formula1>
      <formula2>1000000000.0</formula2>
    </dataValidation>
    <dataValidation sqref="J9:L9" showDropDown="0" showInputMessage="0" showErrorMessage="1" allowBlank="1" errorTitle="Check this value" error="Choose one of the listed values" type="list" errorStyle="stop">
      <formula1>"Copper,Aluminium"</formula1>
    </dataValidation>
    <dataValidation sqref="E23:H23" showDropDown="0" showInputMessage="0" showErrorMessage="1" allowBlank="1" errorTitle="Check this value" error="Enter a number between 0 and 1000000.0 (Voltage (V) (At 100 % voltage))" type="decimal" operator="between">
      <formula1>0</formula1>
      <formula2>1000000.0</formula2>
    </dataValidation>
    <dataValidation sqref="I23:L23" showDropDown="0" showInputMessage="0" showErrorMessage="1" allowBlank="1" errorTitle="Check this value" error="Enter a number between 0 and 1000000.0 (Voltage (V) (At 112.5 % voltage))" type="decimal" operator="between">
      <formula1>0</formula1>
      <formula2>1000000.0</formula2>
    </dataValidation>
    <dataValidation sqref="E29:F29" showDropDown="0" showInputMessage="0" showErrorMessage="1" allowBlank="1" errorTitle="Check this value" error="Enter a number (50% load (Voltage (V)))" type="decimal" operator="between">
      <formula1>-1000000000.0</formula1>
      <formula2>1000000000.0</formula2>
    </dataValidation>
    <dataValidation sqref="G29:H29" showDropDown="0" showInputMessage="0" showErrorMessage="1" allowBlank="1" errorTitle="Check this value" error="Enter a number (50% load (Current (A)))" type="decimal" operator="between">
      <formula1>-1000000000.0</formula1>
      <formula2>1000000000.0</formula2>
    </dataValidation>
    <dataValidation sqref="I29:J29" showDropDown="0" showInputMessage="0" showErrorMessage="1" allowBlank="1" errorTitle="Check this value" error="Enter a number (50% load (Watts (W)))" type="decimal" operator="between">
      <formula1>-1000000000.0</formula1>
      <formula2>1000000000.0</formula2>
    </dataValidation>
    <dataValidation sqref="K29:L29" showDropDown="0" showInputMessage="0" showErrorMessage="1" allowBlank="1" errorTitle="Check this value" error="Enter a number (50% load (Freq. Hz))" type="decimal" operator="between">
      <formula1>-1000000000.0</formula1>
      <formula2>1000000000.0</formula2>
    </dataValidation>
    <dataValidation sqref="B15:B19" showDropDown="0" showInputMessage="0" showErrorMessage="1" allowBlank="1" errorTitle="Check this value" error="Enter a number (V12)" type="decimal" operator="between">
      <formula1>-1000000000.0</formula1>
      <formula2>1000000000.0</formula2>
    </dataValidation>
    <dataValidation sqref="C15:C19" showDropDown="0" showInputMessage="0" showErrorMessage="1" allowBlank="1" errorTitle="Check this value" error="Enter a number (V23)" type="decimal" operator="between">
      <formula1>-1000000000.0</formula1>
      <formula2>1000000000.0</formula2>
    </dataValidation>
    <dataValidation sqref="D15:D19" showDropDown="0" showInputMessage="0" showErrorMessage="1" allowBlank="1" errorTitle="Check this value" error="Enter a number (V31)" type="decimal" operator="between">
      <formula1>-1000000000.0</formula1>
      <formula2>1000000000.0</formula2>
    </dataValidation>
    <dataValidation sqref="F15:F19" showDropDown="0" showInputMessage="0" showErrorMessage="1" allowBlank="1" errorTitle="Check this value" error="Enter a number (I1)" type="decimal" operator="between">
      <formula1>-1000000000.0</formula1>
      <formula2>1000000000.0</formula2>
    </dataValidation>
    <dataValidation sqref="G15:G19" showDropDown="0" showInputMessage="0" showErrorMessage="1" allowBlank="1" errorTitle="Check this value" error="Enter a number (I2)" type="decimal" operator="between">
      <formula1>-1000000000.0</formula1>
      <formula2>1000000000.0</formula2>
    </dataValidation>
    <dataValidation sqref="H15:H19" showDropDown="0" showInputMessage="0" showErrorMessage="1" allowBlank="1" errorTitle="Check this value" error="Enter a number (I3)" type="decimal" operator="between">
      <formula1>-1000000000.0</formula1>
      <formula2>1000000000.0</formula2>
    </dataValidation>
    <dataValidation sqref="J15:J19" showDropDown="0" showInputMessage="0" showErrorMessage="1" allowBlank="1" errorTitle="Check this value" error="Enter a number (W1)" type="decimal" operator="between">
      <formula1>-1000000000.0</formula1>
      <formula2>1000000000.0</formula2>
    </dataValidation>
    <dataValidation sqref="K15:K19" showDropDown="0" showInputMessage="0" showErrorMessage="1" allowBlank="1" errorTitle="Check this value" error="Enter a number (W2)" type="decimal" operator="between">
      <formula1>-1000000000.0</formula1>
      <formula2>1000000000.0</formula2>
    </dataValidation>
    <dataValidation sqref="L15:L19" showDropDown="0" showInputMessage="0" showErrorMessage="1" allowBlank="1" errorTitle="Check this value" error="Enter a number (W3)" type="decimal" operator="between">
      <formula1>-1000000000.0</formula1>
      <formula2>1000000000.0</formula2>
    </dataValidation>
    <dataValidation sqref="N15:N19" showDropDown="0" showInputMessage="0" showErrorMessage="1" allowBlank="1" errorTitle="Check this value" error="Enter a number between 40 and 70 (Freq -Hz)" type="decimal" operator="between">
      <formula1>40</formula1>
      <formula2>70</formula2>
    </dataValidation>
    <dataValidation sqref="O15:O19" showDropDown="0" showInputMessage="0" showErrorMessage="1" allowBlank="1" errorTitle="Check this value" error="Enter a number (Vrr)" type="decimal" operator="between">
      <formula1>-1000000000.0</formula1>
      <formula2>1000000000.0</formula2>
    </dataValidation>
    <dataValidation sqref="B33:B38" showDropDown="0" showInputMessage="0" showErrorMessage="1" allowBlank="1" errorTitle="Check this value" error="Enter a number (V12 )" type="decimal" operator="between">
      <formula1>-1000000000.0</formula1>
      <formula2>1000000000.0</formula2>
    </dataValidation>
    <dataValidation sqref="C33:C38" showDropDown="0" showInputMessage="0" showErrorMessage="1" allowBlank="1" errorTitle="Check this value" error="Enter a number (V23 )" type="decimal" operator="between">
      <formula1>-1000000000.0</formula1>
      <formula2>1000000000.0</formula2>
    </dataValidation>
    <dataValidation sqref="D33:D38" showDropDown="0" showInputMessage="0" showErrorMessage="1" allowBlank="1" errorTitle="Check this value" error="Enter a number (V31 )" type="decimal" operator="between">
      <formula1>-1000000000.0</formula1>
      <formula2>1000000000.0</formula2>
    </dataValidation>
    <dataValidation sqref="F33:F38" showDropDown="0" showInputMessage="0" showErrorMessage="1" allowBlank="1" errorTitle="Check this value" error="Enter a number (I1 )" type="decimal" operator="between">
      <formula1>-1000000000.0</formula1>
      <formula2>1000000000.0</formula2>
    </dataValidation>
    <dataValidation sqref="G33:G38" showDropDown="0" showInputMessage="0" showErrorMessage="1" allowBlank="1" errorTitle="Check this value" error="Enter a number (I2 )" type="decimal" operator="between">
      <formula1>-1000000000.0</formula1>
      <formula2>1000000000.0</formula2>
    </dataValidation>
    <dataValidation sqref="H33:H38" showDropDown="0" showInputMessage="0" showErrorMessage="1" allowBlank="1" errorTitle="Check this value" error="Enter a number (I3 )" type="decimal" operator="between">
      <formula1>-1000000000.0</formula1>
      <formula2>1000000000.0</formula2>
    </dataValidation>
    <dataValidation sqref="J33:J38" showDropDown="0" showInputMessage="0" showErrorMessage="1" allowBlank="1" errorTitle="Check this value" error="Enter a number (W1 )" type="decimal" operator="between">
      <formula1>-1000000000.0</formula1>
      <formula2>1000000000.0</formula2>
    </dataValidation>
    <dataValidation sqref="K33:K38" showDropDown="0" showInputMessage="0" showErrorMessage="1" allowBlank="1" errorTitle="Check this value" error="Enter a number (W2 )" type="decimal" operator="between">
      <formula1>-1000000000.0</formula1>
      <formula2>1000000000.0</formula2>
    </dataValidation>
    <dataValidation sqref="L33:L38" showDropDown="0" showInputMessage="0" showErrorMessage="1" allowBlank="1" errorTitle="Check this value" error="Enter a number (W3 )" type="decimal" operator="between">
      <formula1>-1000000000.0</formula1>
      <formula2>1000000000.0</formula2>
    </dataValidation>
    <dataValidation sqref="N33:N38" showDropDown="0" showInputMessage="0" showErrorMessage="1" allowBlank="1" errorTitle="Check this value" error="Enter a number (Hz)" type="decimal" operator="between">
      <formula1>-1000000000.0</formula1>
      <formula2>1000000000.0</formula2>
    </dataValidation>
  </dataValidations>
  <pageMargins left="0.75" right="0.75" top="1" bottom="1" header="0.5" footer="0.5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2026-10-10T20:27:59Z</dcterms:created>
  <dcterms:modified xsi:type="dcterms:W3CDTF">2026-10-10T20:27:59Z</dcterms:modified>
</cp:coreProperties>
</file>